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CER\Downloads\Viriya\ITAM\"/>
    </mc:Choice>
  </mc:AlternateContent>
  <xr:revisionPtr revIDLastSave="0" documentId="13_ncr:1_{488B64FD-E600-49C1-A6A0-DFD1219E8A2D}" xr6:coauthVersionLast="47" xr6:coauthVersionMax="47" xr10:uidLastSave="{00000000-0000-0000-0000-000000000000}"/>
  <bookViews>
    <workbookView xWindow="-108" yWindow="-108" windowWidth="23256" windowHeight="12456" activeTab="2" xr2:uid="{00000000-000D-0000-FFFF-FFFF00000000}"/>
  </bookViews>
  <sheets>
    <sheet name="Petunjuk" sheetId="1" r:id="rId1"/>
    <sheet name="Referensi" sheetId="2" r:id="rId2"/>
    <sheet name="Semua_Skenario" sheetId="3" r:id="rId3"/>
    <sheet name="Ringkasan" sheetId="4" r:id="rId4"/>
    <sheet name="Alur_Per_Role" sheetId="5" r:id="rId5"/>
    <sheet name="Matriks_Role_Modul" sheetId="6" r:id="rId6"/>
    <sheet name="Auth &amp; Dashboard" sheetId="7" r:id="rId7"/>
    <sheet name="Assets" sheetId="8" r:id="rId8"/>
    <sheet name="Approvals" sheetId="9" r:id="rId9"/>
    <sheet name="Documents" sheetId="10" r:id="rId10"/>
    <sheet name="Evidence" sheetId="11" r:id="rId11"/>
    <sheet name="Audit Events" sheetId="12" r:id="rId12"/>
    <sheet name="Governance" sheetId="13" r:id="rId13"/>
    <sheet name="Vendors" sheetId="14" r:id="rId14"/>
    <sheet name="Contracts" sheetId="15" r:id="rId15"/>
    <sheet name="Software Products" sheetId="16" r:id="rId16"/>
    <sheet name="Asset Transfer Req" sheetId="17" r:id="rId17"/>
    <sheet name="KPI Library &amp; Scorecard" sheetId="18" r:id="rId18"/>
    <sheet name="Int Audits" sheetId="19" r:id="rId19"/>
    <sheet name="Mgmt Reviews" sheetId="20" r:id="rId20"/>
    <sheet name="CAPA" sheetId="21" r:id="rId21"/>
    <sheet name="Reports" sheetId="22" r:id="rId22"/>
    <sheet name="Admin Master Data" sheetId="23" r:id="rId23"/>
    <sheet name="SA Tenants" sheetId="24" r:id="rId2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2" i="4" l="1"/>
  <c r="I22" i="4"/>
  <c r="H22" i="4"/>
  <c r="G22" i="4"/>
  <c r="F22" i="4"/>
  <c r="E22" i="4"/>
  <c r="D22" i="4"/>
  <c r="C22" i="4"/>
  <c r="J21" i="4"/>
  <c r="I21" i="4"/>
  <c r="H21" i="4"/>
  <c r="G21" i="4"/>
  <c r="F21" i="4"/>
  <c r="E21" i="4"/>
  <c r="D21" i="4"/>
  <c r="C21" i="4"/>
  <c r="J20" i="4"/>
  <c r="I20" i="4"/>
  <c r="H20" i="4"/>
  <c r="G20" i="4"/>
  <c r="F20" i="4"/>
  <c r="E20" i="4"/>
  <c r="D20" i="4"/>
  <c r="C20" i="4"/>
  <c r="J19" i="4"/>
  <c r="I19" i="4"/>
  <c r="H19" i="4"/>
  <c r="G19" i="4"/>
  <c r="F19" i="4"/>
  <c r="E19" i="4"/>
  <c r="D19" i="4"/>
  <c r="C19" i="4"/>
  <c r="J18" i="4"/>
  <c r="I18" i="4"/>
  <c r="H18" i="4"/>
  <c r="G18" i="4"/>
  <c r="F18" i="4"/>
  <c r="E18" i="4"/>
  <c r="D18" i="4"/>
  <c r="C18" i="4"/>
  <c r="J17" i="4"/>
  <c r="I17" i="4"/>
  <c r="H17" i="4"/>
  <c r="G17" i="4"/>
  <c r="F17" i="4"/>
  <c r="E17" i="4"/>
  <c r="D17" i="4"/>
  <c r="C17" i="4"/>
  <c r="P16" i="4"/>
  <c r="O16" i="4"/>
  <c r="N16" i="4"/>
  <c r="M16" i="4"/>
  <c r="J16" i="4"/>
  <c r="I16" i="4"/>
  <c r="H16" i="4"/>
  <c r="G16" i="4"/>
  <c r="F16" i="4"/>
  <c r="E16" i="4"/>
  <c r="D16" i="4"/>
  <c r="C16" i="4"/>
  <c r="P15" i="4"/>
  <c r="O15" i="4"/>
  <c r="N15" i="4"/>
  <c r="M15" i="4"/>
  <c r="J15" i="4"/>
  <c r="I15" i="4"/>
  <c r="H15" i="4"/>
  <c r="G15" i="4"/>
  <c r="F15" i="4"/>
  <c r="E15" i="4"/>
  <c r="D15" i="4"/>
  <c r="C15" i="4"/>
  <c r="P14" i="4"/>
  <c r="O14" i="4"/>
  <c r="N14" i="4"/>
  <c r="M14" i="4"/>
  <c r="J14" i="4"/>
  <c r="I14" i="4"/>
  <c r="H14" i="4"/>
  <c r="G14" i="4"/>
  <c r="F14" i="4"/>
  <c r="E14" i="4"/>
  <c r="D14" i="4"/>
  <c r="C14" i="4"/>
  <c r="P13" i="4"/>
  <c r="O13" i="4"/>
  <c r="N13" i="4"/>
  <c r="M13" i="4"/>
  <c r="J13" i="4"/>
  <c r="I13" i="4"/>
  <c r="H13" i="4"/>
  <c r="G13" i="4"/>
  <c r="F13" i="4"/>
  <c r="E13" i="4"/>
  <c r="D13" i="4"/>
  <c r="C13" i="4"/>
  <c r="P12" i="4"/>
  <c r="O12" i="4"/>
  <c r="N12" i="4"/>
  <c r="M12" i="4"/>
  <c r="J12" i="4"/>
  <c r="I12" i="4"/>
  <c r="H12" i="4"/>
  <c r="G12" i="4"/>
  <c r="F12" i="4"/>
  <c r="E12" i="4"/>
  <c r="D12" i="4"/>
  <c r="C12" i="4"/>
  <c r="P11" i="4"/>
  <c r="O11" i="4"/>
  <c r="N11" i="4"/>
  <c r="M11" i="4"/>
  <c r="J11" i="4"/>
  <c r="I11" i="4"/>
  <c r="H11" i="4"/>
  <c r="G11" i="4"/>
  <c r="F11" i="4"/>
  <c r="E11" i="4"/>
  <c r="D11" i="4"/>
  <c r="C11" i="4"/>
  <c r="P10" i="4"/>
  <c r="O10" i="4"/>
  <c r="N10" i="4"/>
  <c r="M10" i="4"/>
  <c r="J10" i="4"/>
  <c r="I10" i="4"/>
  <c r="H10" i="4"/>
  <c r="G10" i="4"/>
  <c r="F10" i="4"/>
  <c r="E10" i="4"/>
  <c r="D10" i="4"/>
  <c r="C10" i="4"/>
  <c r="P9" i="4"/>
  <c r="O9" i="4"/>
  <c r="N9" i="4"/>
  <c r="M9" i="4"/>
  <c r="J9" i="4"/>
  <c r="I9" i="4"/>
  <c r="H9" i="4"/>
  <c r="G9" i="4"/>
  <c r="F9" i="4"/>
  <c r="E9" i="4"/>
  <c r="D9" i="4"/>
  <c r="C9" i="4"/>
  <c r="P8" i="4"/>
  <c r="O8" i="4"/>
  <c r="N8" i="4"/>
  <c r="M8" i="4"/>
  <c r="J8" i="4"/>
  <c r="I8" i="4"/>
  <c r="H8" i="4"/>
  <c r="G8" i="4"/>
  <c r="F8" i="4"/>
  <c r="E8" i="4"/>
  <c r="D8" i="4"/>
  <c r="C8" i="4"/>
  <c r="P7" i="4"/>
  <c r="O7" i="4"/>
  <c r="N7" i="4"/>
  <c r="M7" i="4"/>
  <c r="J7" i="4"/>
  <c r="I7" i="4"/>
  <c r="H7" i="4"/>
  <c r="G7" i="4"/>
  <c r="F7" i="4"/>
  <c r="E7" i="4"/>
  <c r="D7" i="4"/>
  <c r="C7" i="4"/>
  <c r="P6" i="4"/>
  <c r="O6" i="4"/>
  <c r="N6" i="4"/>
  <c r="M6" i="4"/>
  <c r="J6" i="4"/>
  <c r="I6" i="4"/>
  <c r="H6" i="4"/>
  <c r="G6" i="4"/>
  <c r="F6" i="4"/>
  <c r="E6" i="4"/>
  <c r="D6" i="4"/>
  <c r="C6" i="4"/>
  <c r="J5" i="4"/>
  <c r="I5" i="4"/>
  <c r="H5" i="4"/>
  <c r="G5" i="4"/>
  <c r="F5" i="4"/>
  <c r="E5" i="4"/>
  <c r="D5" i="4"/>
  <c r="C5" i="4"/>
  <c r="E10" i="1"/>
  <c r="E9" i="1"/>
  <c r="E8" i="1"/>
  <c r="E7" i="1"/>
  <c r="E6" i="1"/>
  <c r="E5" i="1"/>
</calcChain>
</file>

<file path=xl/sharedStrings.xml><?xml version="1.0" encoding="utf-8"?>
<sst xmlns="http://schemas.openxmlformats.org/spreadsheetml/2006/main" count="9850" uniqueCount="2274">
  <si>
    <t>ITAM - Workbook Testing</t>
  </si>
  <si>
    <t>Workbook khusus skenario testing/UAT semua modul. Mulai dari sheet Ringkasan untuk coverage, lalu gunakan sheet Alur_Per_Role untuk membaca alur user per role, dan buka Semua_Skenario atau sheet modul untuk eksekusi test case detail.</t>
  </si>
  <si>
    <t>Tujuan</t>
  </si>
  <si>
    <t>Menjadi master workbook skenario testing semua modul.</t>
  </si>
  <si>
    <t>Ringkasan Cepat</t>
  </si>
  <si>
    <t>Struktur Workbook</t>
  </si>
  <si>
    <t>1) Ringkasan = coverage modul dan status. 2) Alur_Per_Role = siapa login, masuk ke modul mana, lalu ngapain. 3) Matriks_Role_Modul = akses role vs modul. 4) Semua_Skenario + sheet modul = eksekusi test detail.</t>
  </si>
  <si>
    <t>Total Skenario</t>
  </si>
  <si>
    <t>Cara Pakai Disarankan</t>
  </si>
  <si>
    <t>Pahami dahulu alur user di Alur_Per_Role, lalu tandai skenario detail di sheet modul. Ini membuat workbook lebih mudah dipahami untuk UAT, demo, dan diskusi fitur.</t>
  </si>
  <si>
    <t>High Priority</t>
  </si>
  <si>
    <t>Istilah</t>
  </si>
  <si>
    <t>Istilah modul, fitur, dan role disesuaikan dengan kode, UI, dan dokumen repo ITAM yang ada saat ini.</t>
  </si>
  <si>
    <t>Medium Priority</t>
  </si>
  <si>
    <t>Sumber Utama</t>
  </si>
  <si>
    <t>Repo GitHub ITAM + dokumen diagram per modul, panduan penggunaan lengkap, matriks akses role, dan alur end-to-end.</t>
  </si>
  <si>
    <t>Pass</t>
  </si>
  <si>
    <t>Status Eksekusi</t>
  </si>
  <si>
    <t>Gunakan Not Started, In Progress, Pass, Fail, atau Blocked.</t>
  </si>
  <si>
    <t>Fail</t>
  </si>
  <si>
    <t>Catatan</t>
  </si>
  <si>
    <t>Kolom Actual Result dan Catatan dipakai untuk hasil UAT nyata. Jangan ubah kolom referensi jika ingin jejak sumber tetap rapi.</t>
  </si>
  <si>
    <t>Blocked</t>
  </si>
  <si>
    <t>Not Started</t>
  </si>
  <si>
    <t>High</t>
  </si>
  <si>
    <t>Positive</t>
  </si>
  <si>
    <t>In Progress</t>
  </si>
  <si>
    <t>Medium</t>
  </si>
  <si>
    <t>Negative</t>
  </si>
  <si>
    <t>Low</t>
  </si>
  <si>
    <t>Authorization</t>
  </si>
  <si>
    <t>Integration</t>
  </si>
  <si>
    <t>N/A</t>
  </si>
  <si>
    <t>Master Semua Skenario</t>
  </si>
  <si>
    <t>Gunakan sheet Alur_Per_Role untuk membaca flow user per role sebelum mengeksekusi test case detail di sheet ini.</t>
  </si>
  <si>
    <t>ID Skenario</t>
  </si>
  <si>
    <t>Kelompok Area</t>
  </si>
  <si>
    <t>Modul</t>
  </si>
  <si>
    <t>Fitur</t>
  </si>
  <si>
    <t>Tujuan Uji</t>
  </si>
  <si>
    <t>Jenis Uji</t>
  </si>
  <si>
    <t>Role Uji</t>
  </si>
  <si>
    <t>Prioritas</t>
  </si>
  <si>
    <t>Precondition</t>
  </si>
  <si>
    <t>Langkah Uji</t>
  </si>
  <si>
    <t>Hasil yang Diharapkan</t>
  </si>
  <si>
    <t>Data Uji</t>
  </si>
  <si>
    <t>Actual Result</t>
  </si>
  <si>
    <t>Sumber Acuan</t>
  </si>
  <si>
    <t>AUTH-001</t>
  </si>
  <si>
    <t>Fondasi</t>
  </si>
  <si>
    <t>Auth and Dashboard</t>
  </si>
  <si>
    <t>Login</t>
  </si>
  <si>
    <t>Memastikan user dapat login dengan kredensial tenant yang valid.</t>
  </si>
  <si>
    <t>Public</t>
  </si>
  <si>
    <t>Tenant aktif; akun aktif; captcha dapat digunakan.</t>
  </si>
  <si>
    <t>1. Buka halaman login.
2. Isi Tenant Code, Email Address, Password, dan captcha token.
3. Klik Sign In / Login.
4. Tunggu redirect ke home.</t>
  </si>
  <si>
    <t>- Session cookie terbentuk.
- User diarahkan ke dashboard.
- Data /auth/me berhasil dibaca dan shell aplikasi tampil.</t>
  </si>
  <si>
    <t>tenant code valid; email valid; password valid</t>
  </si>
  <si>
    <t/>
  </si>
  <si>
    <t>https://raw.githubusercontent.com/MuhamadRamdhani/ITAM/main/docs/panduan-penggunaan-lengkap.md</t>
  </si>
  <si>
    <t>AUTH-002</t>
  </si>
  <si>
    <t>Memastikan login ditolak saat password salah.</t>
  </si>
  <si>
    <t>Tenant aktif; akun ada.</t>
  </si>
  <si>
    <t>1. Buka halaman login.
2. Isi Tenant Code dan Email valid, tetapi Password salah.
3. Selesaikan captcha.
4. Submit form login.</t>
  </si>
  <si>
    <t>- Login ditolak.
- Pesan error tampil.
- Tidak ada redirect ke dashboard dan sesi tidak dibuat.</t>
  </si>
  <si>
    <t>password invalid</t>
  </si>
  <si>
    <t>AUTH-003</t>
  </si>
  <si>
    <t>Memastikan tenant dengan contract expired / suspended diblokir.</t>
  </si>
  <si>
    <t>Siapkan tenant expired atau suspended.</t>
  </si>
  <si>
    <t>1. Buka halaman login.
2. Masukkan kredensial akun tenant expired atau suspended.
3. Selesaikan captcha dan submit.</t>
  </si>
  <si>
    <t>- Login ditolak.
- Modal/penjelasan terkait contract atau suspension tampil.
- User tetap berada di login page.</t>
  </si>
  <si>
    <t>tenant contract expired / tenant suspended</t>
  </si>
  <si>
    <t>AUTH-004</t>
  </si>
  <si>
    <t>Refresh Session</t>
  </si>
  <si>
    <t>Memastikan access token yang expired dapat dipulihkan otomatis dengan refresh.</t>
  </si>
  <si>
    <t>All authenticated users</t>
  </si>
  <si>
    <t>User sudah login; refresh token masih valid.</t>
  </si>
  <si>
    <t>1. Biarkan access token expired atau simulasi request protected saat token access sudah tidak valid.
2. Akses halaman protected.
3. Amati request refresh dan retry request asal.</t>
  </si>
  <si>
    <t>- Client memanggil /auth/refresh.
- Request protected diulang otomatis.
- User tetap berada di halaman aplikasi tanpa login ulang.</t>
  </si>
  <si>
    <t>Sangat penting untuk regression auth wrapper.</t>
  </si>
  <si>
    <t>https://raw.githubusercontent.com/MuhamadRamdhani/ITAM/main/docs/alur-end-to-end-login-sampai-kpi-dan-internal-audit.md</t>
  </si>
  <si>
    <t>AUTH-005</t>
  </si>
  <si>
    <t>Logout</t>
  </si>
  <si>
    <t>Memastikan logout mengakhiri sesi dengan aman.</t>
  </si>
  <si>
    <t>User sudah login.</t>
  </si>
  <si>
    <t>1. Buka application shell.
2. Klik logout.
3. Tunggu redirect ke login.
4. Coba buka halaman protected kembali.</t>
  </si>
  <si>
    <t>- User kembali ke login.
- Halaman protected tidak bisa diakses tanpa login ulang.
- Sesi lama tidak dapat dipakai lagi.</t>
  </si>
  <si>
    <t>https://raw.githubusercontent.com/MuhamadRamdhani/ITAM/main/docs/generate-itam-test-scenarios.ps1</t>
  </si>
  <si>
    <t>AUTH-006</t>
  </si>
  <si>
    <t>Dashboard</t>
  </si>
  <si>
    <t>Memastikan dashboard menampilkan summary cards dan quick links.</t>
  </si>
  <si>
    <t>1. Buka home/dashboard.
2. Periksa summary cards.
3. Periksa quick links utama.
4. Klik satu quick link.</t>
  </si>
  <si>
    <t>- Summary cards tampil.
- Quick links ke create asset/document/upload evidence terlihat sesuai peran.
- Navigasi quick link berjalan.</t>
  </si>
  <si>
    <t>AUTH-007</t>
  </si>
  <si>
    <t>Dashboard Visibility</t>
  </si>
  <si>
    <t>Memastikan launcher mengikuti role user.</t>
  </si>
  <si>
    <t>SUPERADMIN/TENANT_ADMIN/ITAM_MANAGER/AUDITOR</t>
  </si>
  <si>
    <t>Siapkan beberapa akun dengan role berbeda.</t>
  </si>
  <si>
    <t>1. Login sebagai role pertama dan catat launcher yang muncul.
2. Logout lalu login sebagai role kedua.
3. Bandingkan launcher dan tombol aksi yang terlihat.</t>
  </si>
  <si>
    <t>- Launcher mengikuti role.
- Modul yang tidak relevan tidak ditampilkan.
- Tidak ada tombol aksi write untuk role read-only.</t>
  </si>
  <si>
    <t>https://raw.githubusercontent.com/MuhamadRamdhani/ITAM/main/docs/matriks-akses-role.md</t>
  </si>
  <si>
    <t>AUTH-008</t>
  </si>
  <si>
    <t>Memastikan login ditolak bila captcha belum diisi atau token captcha invalid/expired.</t>
  </si>
  <si>
    <t>Tenant aktif; akun aktif; site key captcha tersedia.</t>
  </si>
  <si>
    <t>1. Buka halaman login.
2. Isi Tenant Code, Email Address, dan Password valid.
3. Jangan selesaikan captcha atau gunakan token captcha invalid.
4. Klik login.</t>
  </si>
  <si>
    <t>- Login ditolak.
- Pesan captcha tampil.
- Widget captcha di-reset bila token invalid/expired.</t>
  </si>
  <si>
    <t>captcha kosong / captcha invalid</t>
  </si>
  <si>
    <t>https://raw.githubusercontent.com/MuhamadRamdhani/ITAM/main/apps/web/app/login/page.tsx</t>
  </si>
  <si>
    <t>AUTH-009</t>
  </si>
  <si>
    <t>Memastikan login diblokir untuk tenant dengan contract not set / not active / suspended.</t>
  </si>
  <si>
    <t>Siapkan tenant pada beberapa status kontrak: not set, expired, suspended.</t>
  </si>
  <si>
    <t>1. Login menggunakan akun tenant yang kontraknya bermasalah.
2. Selesaikan captcha.
3. Submit form.</t>
  </si>
  <si>
    <t>- Login ditolak.
- Modal status tenant/kontrak tampil sesuai kondisi.
- Tidak ada redirect ke dashboard.</t>
  </si>
  <si>
    <t>tenant contract not set / not active / suspended</t>
  </si>
  <si>
    <t>AUTH-010</t>
  </si>
  <si>
    <t>Memastikan proteksi double submit bekerja pada tombol login.</t>
  </si>
  <si>
    <t>Halaman login terbuka.</t>
  </si>
  <si>
    <t>1. Isi semua field valid.
2. Klik tombol login berkali-kali dengan cepat.
3. Amati request yang dikirim.</t>
  </si>
  <si>
    <t>- Hanya satu proses login yang aktif.
- Tombol/indikator submit mencegah duplicate request.
- Tidak muncul sesi ganda atau error balapan request.</t>
  </si>
  <si>
    <t>rapid click login</t>
  </si>
  <si>
    <t>AUTH-011</t>
  </si>
  <si>
    <t>Memastikan ketika refresh token tidak valid, user diarahkan kembali ke login dengan event session-expired.</t>
  </si>
  <si>
    <t>User pernah login; access token dan refresh token sudah invalid atau refresh endpoint gagal.</t>
  </si>
  <si>
    <t>1. Akses halaman protected saat sesi sudah tidak bisa dipulihkan.
2. Amati respons client setelah refresh gagal.</t>
  </si>
  <si>
    <t>- Event session-expired dipicu.
- Guard menampilkan pesan sesi habis.
- User diarahkan ke halaman login.</t>
  </si>
  <si>
    <t>session expired total</t>
  </si>
  <si>
    <t>https://raw.githubusercontent.com/MuhamadRamdhani/ITAM/main/apps/web/app/lib/api.ts</t>
  </si>
  <si>
    <t>AUTH-012</t>
  </si>
  <si>
    <t>Memastikan logout menghapus sesi dan user tidak lagi bisa mengakses halaman protected.</t>
  </si>
  <si>
    <t>User sudah login ke aplikasi.</t>
  </si>
  <si>
    <t>1. Klik tombol Logout.
2. Konfirmasi bila ada.
3. Coba akses kembali halaman protected dari tab yang sama atau refresh browser.</t>
  </si>
  <si>
    <t>- Session cookie dibersihkan.
- User kembali ke login.
- Halaman protected meminta login lagi.</t>
  </si>
  <si>
    <t>DASH-001</t>
  </si>
  <si>
    <t>Dashboard Summary</t>
  </si>
  <si>
    <t>Memastikan summary cards termuat setelah login dan menampilkan kondisi inti tenant.</t>
  </si>
  <si>
    <t>User login valid dan memiliki akses ke home/dashboard.</t>
  </si>
  <si>
    <t>1. Login ke aplikasi.
2. Tunggu dashboard selesai dimuat.
3. Periksa summary cards.</t>
  </si>
  <si>
    <t>- Ringkasan seperti total assets, pending approvals, documents in review, evidence, scope, atau governance termuat.
- Tidak ada error load pada komponen utama dashboard.</t>
  </si>
  <si>
    <t>https://raw.githubusercontent.com/MuhamadRamdhani/ITAM/main/apps/web/app/components/DashboardSummaryCards.tsx</t>
  </si>
  <si>
    <t>DASH-002</t>
  </si>
  <si>
    <t>Vendor Contract Alert</t>
  </si>
  <si>
    <t>Memastikan vendor contract alert tampil ketika ada kontrak expiring atau expired.</t>
  </si>
  <si>
    <t>Tersedia data kontrak dengan health EXPIRING atau EXPIRED.</t>
  </si>
  <si>
    <t>1. Buka dashboard.
2. Cari kartu Vendor Contract Alert.
3. Klik tautan ke modul Contracts bila tersedia.</t>
  </si>
  <si>
    <t>- Jumlah expiring/expired tampil benar.
- Link mengarah ke Contracts dengan konteks yang relevan.</t>
  </si>
  <si>
    <t>contracts health expiring/expired</t>
  </si>
  <si>
    <t>DASH-003</t>
  </si>
  <si>
    <t>Launcher Visibility</t>
  </si>
  <si>
    <t>Memastikan launcher/dashboard menu hanya menampilkan modul yang relevan untuk role yang login.</t>
  </si>
  <si>
    <t>SUPERADMIN/TENANT_ADMIN/ITAM_MANAGER/ASSET_CUSTODIAN/AUDITOR</t>
  </si>
  <si>
    <t>Siapkan akun dengan role berbeda.</t>
  </si>
  <si>
    <t>1. Login dengan role A, catat launcher yang muncul.
2. Logout.
3. Login dengan role B/C/D.
4. Bandingkan launcher yang tampil.</t>
  </si>
  <si>
    <t>- Modul yang ditampilkan sesuai role matrix.
- Role read-only tidak melihat aksi operasional yang tidak berwenang.</t>
  </si>
  <si>
    <t>multi-role accounts</t>
  </si>
  <si>
    <t>DASH-004</t>
  </si>
  <si>
    <t>Quick Links</t>
  </si>
  <si>
    <t>Memastikan quick links di dashboard mengarah ke halaman target yang benar.</t>
  </si>
  <si>
    <t>Dashboard sudah terbuka.</t>
  </si>
  <si>
    <t>1. Klik beberapa quick links seperti New Asset, New Document, Upload Evidence, Vendors, Contracts, atau Pending Approvals.
2. Verifikasi halaman tujuan.</t>
  </si>
  <si>
    <t>- Navigasi berhasil tanpa 404/500.
- Halaman target sesuai label quick link.
- Role yang tidak berwenang tidak bisa melewati proteksi backend/UI.</t>
  </si>
  <si>
    <t>https://raw.githubusercontent.com/MuhamadRamdhani/ITAM/main/apps/web/app/page.tsx</t>
  </si>
  <si>
    <t>DASH-005</t>
  </si>
  <si>
    <t>Dashboard Unauthorized Handling</t>
  </si>
  <si>
    <t>Memastikan dashboard menangani unauthorized dengan benar ketika sesi hilang saat sedang berada di aplikasi.</t>
  </si>
  <si>
    <t>User sempat login lalu sesi dihapus/expired.</t>
  </si>
  <si>
    <t>1. Buka dashboard.
2. Hapus cookie sesi atau tunggu sesi habis.
3. Refresh halaman atau trigger API dashboard.</t>
  </si>
  <si>
    <t>- Dashboard menampilkan handling session missing/expired.
- Client mencoba refresh bila memungkinkan.
- Jika gagal, user kembali ke login dengan aman.</t>
  </si>
  <si>
    <t>ASSET-001</t>
  </si>
  <si>
    <t>Core ITAM</t>
  </si>
  <si>
    <t>Assets</t>
  </si>
  <si>
    <t>Assets List</t>
  </si>
  <si>
    <t>Memastikan list asset dapat dicari dan difilter.</t>
  </si>
  <si>
    <t>Tenant-scoped</t>
  </si>
  <si>
    <t>Data asset minimal 5 record dengan type/state berbeda tersedia.</t>
  </si>
  <si>
    <t>1. Buka halaman Assets.
2. Gunakan search berdasarkan asset tag atau name.
3. Pilih Asset Type dan Lifecycle State.
4. Terapkan filter.</t>
  </si>
  <si>
    <t>- Daftar asset menyesuaikan filter.
- Page size dan pagination tetap konsisten.
- Filter mengambil nilai dari config tenant.</t>
  </si>
  <si>
    <t>ASSET-002</t>
  </si>
  <si>
    <t>New Asset</t>
  </si>
  <si>
    <t>Memastikan asset baru dapat dibuat oleh role yang diizinkan.</t>
  </si>
  <si>
    <t>TENANT_ADMIN/ITAM_MANAGER</t>
  </si>
  <si>
    <t>Master asset type dan lifecycle state sudah tersedia.</t>
  </si>
  <si>
    <t>1. Buka Assets &gt; New Asset.
2. Isi Asset Tag, Name, Asset Type, Initial State, Status, dan coverage dates yang relevan.
3. Simpan data.</t>
  </si>
  <si>
    <t>- Asset baru tersimpan.
- User diarahkan ke asset detail atau asset terlihat di list.
- Nilai asset type dan state sesuai pilihan.</t>
  </si>
  <si>
    <t>ASSET-003</t>
  </si>
  <si>
    <t>Memastikan role non-operasional tidak dapat membuat asset.</t>
  </si>
  <si>
    <t>AUDITOR</t>
  </si>
  <si>
    <t>Login sebagai role read-only.</t>
  </si>
  <si>
    <t>1. Buka halaman Assets.
2. Coba akses tombol New Asset atau route create asset.
3. Coba submit form bila route berhasil dibuka.</t>
  </si>
  <si>
    <t>- Tombol create tidak tampil atau akses backend ditolak.
- Tidak ada asset baru yang tersimpan.</t>
  </si>
  <si>
    <t>ASSET-004</t>
  </si>
  <si>
    <t>Ownership Panel</t>
  </si>
  <si>
    <t>Memastikan owner/custodian/location dapat diubah dan history tetap terjaga.</t>
  </si>
  <si>
    <t>TENANT_ADMIN/ITAM_MANAGER/ASSET_CUSTODIAN</t>
  </si>
  <si>
    <t>Asset sudah ada; department, identity, dan location master tersedia.</t>
  </si>
  <si>
    <t>1. Buka asset detail.
2. Masuk ke Ownership Panel.
3. Cari dan pilih department, identity, dan location baru.
4. Simpan perubahan.</t>
  </si>
  <si>
    <t>- Ownership aktif berubah.
- History ownership bertambah.
- Lookup mengambil data dari master tenant.</t>
  </si>
  <si>
    <t>ASSET-005</t>
  </si>
  <si>
    <t>Lifecycle Panel</t>
  </si>
  <si>
    <t>Memastikan lifecycle transition biasa dapat dijalankan saat gate terpenuhi.</t>
  </si>
  <si>
    <t>Role operasional</t>
  </si>
  <si>
    <t>Asset memiliki transition yang tidak membutuhkan approval.</t>
  </si>
  <si>
    <t>1. Buka asset detail.
2. Masuk ke Lifecycle Panel.
3. Pilih Target State yang valid.
4. Submit transition.</t>
  </si>
  <si>
    <t>- Current state berubah.
- History state bertambah.
- Tidak ada approval record baru bila transition tidak mensyaratkan approval.</t>
  </si>
  <si>
    <t>ASSET-006</t>
  </si>
  <si>
    <t>Memastikan transition yang membutuhkan approval membuat approval record.</t>
  </si>
  <si>
    <t>Asset memiliki transition dengan indikator approval required.</t>
  </si>
  <si>
    <t>1. Buka asset detail.
2. Pilih transition yang membutuhkan approval.
3. Submit action.
4. Buka modul Approvals dan cari record yang dibuat.</t>
  </si>
  <si>
    <t>- Approval record baru muncul.
- State final asset belum berubah sampai approval disetujui.
- Audit trail workflow bertambah.</t>
  </si>
  <si>
    <t>ASSET-007</t>
  </si>
  <si>
    <t>Software Panels</t>
  </si>
  <si>
    <t>Memastikan software installation dan assignment dapat dikelola dari asset detail.</t>
  </si>
  <si>
    <t>SUPERADMIN/TENANT_ADMIN/ITAM_MANAGER</t>
  </si>
  <si>
    <t>Software product aktif tersedia; identity tenant tersedia.</t>
  </si>
  <si>
    <t>1. Buka asset detail.
2. Tambahkan software installation.
3. Tambahkan assignment ke identity.
4. Refresh panel.</t>
  </si>
  <si>
    <t>- Installation tersimpan.
- Assignment tersimpan.
- History installation/assignment dapat dilihat ulang.</t>
  </si>
  <si>
    <t>ASSET-008</t>
  </si>
  <si>
    <t>Transfer Action</t>
  </si>
  <si>
    <t>Memastikan action transfer hanya muncul untuk role tertentu.</t>
  </si>
  <si>
    <t>SUPERADMIN/TENANT_ADMIN/ITAM_MANAGER vs AUDITOR</t>
  </si>
  <si>
    <t>Siapkan akun role operasional dan role read-only.</t>
  </si>
  <si>
    <t>1. Login sebagai role operasional dan buka Assets.
2. Catat apakah action Transfer tampil.
3. Login sebagai role read-only dan ulangi pemeriksaan.</t>
  </si>
  <si>
    <t>- Action Transfer hanya tersedia untuk role yang diizinkan.
- Role read-only tidak melihat atau tidak dapat menjalankan transfer.</t>
  </si>
  <si>
    <t>ASSET-009</t>
  </si>
  <si>
    <t>Memastikan halaman Assets melakukan bootstrap auth dan config tenant dengan benar sebelum memuat list.</t>
  </si>
  <si>
    <t>User login; config asset types, lifecycle states, dan config UI tersedia.</t>
  </si>
  <si>
    <t>1. Buka halaman Assets.
2. Amati load awal halaman.
3. Pastikan user profile, config UI, asset types, lifecycle states, dan list asset termuat.</t>
  </si>
  <si>
    <t>- Halaman tidak blank/crash.
- Dropdown filter terisi dari config tenant.
- List asset muncul setelah bootstrap selesai.</t>
  </si>
  <si>
    <t>https://raw.githubusercontent.com/MuhamadRamdhani/ITAM/main/apps/web/app/assets/AssetsClient.tsx</t>
  </si>
  <si>
    <t>ASSET-010</t>
  </si>
  <si>
    <t>Memastikan invalid page size ditolak sesuai config server.</t>
  </si>
  <si>
    <t>Assets page dapat diakses.</t>
  </si>
  <si>
    <t>1. Manipulasi URL page_size ke nilai yang tidak ada pada config.
2. Reload halaman Assets.</t>
  </si>
  <si>
    <t>- Pesan invalid page size muncul atau request ditolak.
- Halaman tidak menampilkan data dengan page size liar.
- Enforcement mengikuti config server.</t>
  </si>
  <si>
    <t>page_size di luar config</t>
  </si>
  <si>
    <t>ASSET-011</t>
  </si>
  <si>
    <t>Memastikan empty state tampil saat hasil pencarian tidak ditemukan.</t>
  </si>
  <si>
    <t>1. Cari asset dengan kata kunci yang pasti tidak ada.
2. Submit filter/search.</t>
  </si>
  <si>
    <t>- Tabel/list tidak error.
- UI menampilkan informasi bahwa tidak ada asset yang cocok.
- Filter tetap dapat diubah kembali.</t>
  </si>
  <si>
    <t>keyword tidak ada</t>
  </si>
  <si>
    <t>ASSET-012</t>
  </si>
  <si>
    <t>Memastikan coverage field mengikuti tipe asset kategori hardware/network.</t>
  </si>
  <si>
    <t>Form New Asset terbuka.</t>
  </si>
  <si>
    <t>1. Pilih Asset Type HARDWARE atau NETWORK.
2. Amati field coverage yang muncul.
3. Isi warranty/support dates bila tersedia.</t>
  </si>
  <si>
    <t>- Coverage field menonjolkan warranty/support.
- Field subscription tidak menjadi fokus utama untuk mode hardware.
- User tidak bingung karena field selaras dengan jenis asset.</t>
  </si>
  <si>
    <t>asset type HARDWARE / NETWORK</t>
  </si>
  <si>
    <t>https://raw.githubusercontent.com/MuhamadRamdhani/ITAM/main/apps/web/app/assets/new/page.tsx</t>
  </si>
  <si>
    <t>ASSET-013</t>
  </si>
  <si>
    <t>Memastikan coverage field mengikuti tipe asset kategori software/saas/cloud/vm_container.</t>
  </si>
  <si>
    <t>1. Pilih Asset Type SOFTWARE, SAAS, CLOUD, atau VM_CONTAINER.
2. Amati perubahan field coverage.
3. Isi subscription dates yang relevan.</t>
  </si>
  <si>
    <t>- Coverage field menonjolkan subscription/license term.
- Tampilan form menyesuaikan jenis asset yang dipilih.</t>
  </si>
  <si>
    <t>asset type SOFTWARE / SAAS / CLOUD / VM_CONTAINER</t>
  </si>
  <si>
    <t>ASSET-014</t>
  </si>
  <si>
    <t>Memastikan validasi field wajib berjalan saat create asset.</t>
  </si>
  <si>
    <t>1. Biarkan Asset Tag atau Name kosong.
2. Atau kosongkan Asset Type / Initial State.
3. Klik simpan.</t>
  </si>
  <si>
    <t>- Form menolak submit.
- Pesan validasi tampil.
- Tidak ada asset baru yang tersimpan.</t>
  </si>
  <si>
    <t>field wajib kosong</t>
  </si>
  <si>
    <t>ASSET-015</t>
  </si>
  <si>
    <t>Asset Detail</t>
  </si>
  <si>
    <t>Memastikan asset detail dapat dibuka dari list dan berfungsi sebagai hub modul lanjutan.</t>
  </si>
  <si>
    <t>Ada minimal satu asset pada list.</t>
  </si>
  <si>
    <t>1. Dari Assets List klik View/Detail.
2. Tunggu halaman Asset Detail terbuka.
3. Tinjau panel utama yang tersedia.</t>
  </si>
  <si>
    <t>- Asset Detail terbuka.
- Ownership, Lifecycle, Software Installations, dan Software Assignments dapat diakses sesuai role.
- Tidak ada mismatch asset ID.</t>
  </si>
  <si>
    <t>https://raw.githubusercontent.com/MuhamadRamdhani/ITAM/main/docs/diagram-per-modul.md</t>
  </si>
  <si>
    <t>ASSET-016</t>
  </si>
  <si>
    <t>Memastikan role read-only seperti AUDITOR tidak dapat mengubah ownership.</t>
  </si>
  <si>
    <t>Login sebagai AUDITOR; asset tersedia.</t>
  </si>
  <si>
    <t>1. Buka Asset Detail.
2. Akses Ownership Panel.
3. Coba ubah department/custodian/location lalu simpan.</t>
  </si>
  <si>
    <t>- Aksi ubah tidak tersedia atau ditolak.
- Tidak ada perubahan ownership yang tersimpan.</t>
  </si>
  <si>
    <t>ASSET-017</t>
  </si>
  <si>
    <t>Memastikan current state, transition options, dan history lifecycle tampil pada asset detail.</t>
  </si>
  <si>
    <t>Asset sudah ada dan memiliki state aktif.</t>
  </si>
  <si>
    <t>1. Buka Asset Detail.
2. Masuk ke Lifecycle Panel.
3. Periksa current state, target state, dan history.</t>
  </si>
  <si>
    <t>- Current state terlihat jelas.
- Opsi transition yang valid ditampilkan.
- History lifecycle tersedia untuk audit trail.</t>
  </si>
  <si>
    <t>ASSET-018</t>
  </si>
  <si>
    <t>Memastikan transition yang tidak membutuhkan approval mengubah state langsung.</t>
  </si>
  <si>
    <t>Siapkan asset dengan transition direct yang valid.</t>
  </si>
  <si>
    <t>1. Buka Lifecycle Panel.
2. Pilih target state direct.
3. Submit transition.</t>
  </si>
  <si>
    <t>- State asset berubah langsung.
- History bertambah.
- Tidak ada pending approval yang tersisa untuk transition ini.</t>
  </si>
  <si>
    <t>transition direct</t>
  </si>
  <si>
    <t>ASSET-019</t>
  </si>
  <si>
    <t>Memastikan transition yang membutuhkan approval membuat record approval sebelum state final berubah.</t>
  </si>
  <si>
    <t>Siapkan asset dengan transition yang require approval.</t>
  </si>
  <si>
    <t>1. Buka Lifecycle Panel.
2. Pilih target state yang butuh approval.
3. Submit transition.
4. Buka modul Approvals untuk memeriksa request.</t>
  </si>
  <si>
    <t>- Approval baru terbentuk.
- Asset belum berpindah ke state final sebelum approval diputuskan.
- Setelah approval disetujui, state berubah sesuai workflow.</t>
  </si>
  <si>
    <t>transition require approval</t>
  </si>
  <si>
    <t>ASSET-020</t>
  </si>
  <si>
    <t>Memastikan UI menampilkan blocked reasons, gate rules, atau evidence required pada transition tertentu.</t>
  </si>
  <si>
    <t>Siapkan asset yang belum memenuhi gate transition.</t>
  </si>
  <si>
    <t>1. Buka Lifecycle Panel.
2. Pilih atau lihat transition yang terblokir.
3. Amati indikator atau alasan blokir.</t>
  </si>
  <si>
    <t>- User melihat alasan mengapa transition belum bisa dilakukan.
- Bila evidence required, indikatornya jelas.
- UI membantu user memperbaiki prasyarat sebelum submit.</t>
  </si>
  <si>
    <t>asset belum memenuhi gate</t>
  </si>
  <si>
    <t>ASSET-021</t>
  </si>
  <si>
    <t>Software Installations</t>
  </si>
  <si>
    <t>Memastikan panel software installations bersifat read untuk role yang diizinkan, termasuk AUDITOR.</t>
  </si>
  <si>
    <t>Asset memiliki data installation atau panel tersedia.</t>
  </si>
  <si>
    <t>1. Login dengan role yang berbeda.
2. Buka Asset Detail.
3. Periksa apakah panel installation dapat dibaca.</t>
  </si>
  <si>
    <t>- Role yang diizinkan dapat membaca data installation.
- Role non-authorized tidak melihat data/aksi yang seharusnya tidak tersedia.</t>
  </si>
  <si>
    <t>ASSET-022</t>
  </si>
  <si>
    <t>Memastikan role write dapat menambah software installation dengan data yang benar.</t>
  </si>
  <si>
    <t>Software Product sudah tersedia; asset detail terbuka.</t>
  </si>
  <si>
    <t>1. Di Asset Detail, tambah installation baru.
2. Pilih software product.
3. Isi status installation, version, installed/detected dates, dan notes.
4. Simpan.</t>
  </si>
  <si>
    <t>- Installation baru tercatat pada asset yang benar.
- Nilai status sesuai enumerasi yang didukung.
- Data tampil kembali pada panel asset detail.</t>
  </si>
  <si>
    <t>ASSET-023</t>
  </si>
  <si>
    <t>Software Assignments</t>
  </si>
  <si>
    <t>Memastikan role write dapat menambah assignment software ke identity tertentu.</t>
  </si>
  <si>
    <t>Asset detail terbuka; installation tersedia; identity master tersedia.</t>
  </si>
  <si>
    <t>1. Pilih software installation.
2. Tambah assignment.
3. Pilih identity, assignment role, dan status.
4. Simpan.</t>
  </si>
  <si>
    <t>- Assignment tersimpan.
- Relasi installation-user benar.
- Role/status assignment tampil sesuai pilihan.</t>
  </si>
  <si>
    <t>ASSET-024</t>
  </si>
  <si>
    <t>Memastikan tombol atau link transfer hanya tampil untuk role yang berwenang.</t>
  </si>
  <si>
    <t>Siapkan beberapa akun role dan minimal satu asset.</t>
  </si>
  <si>
    <t>1. Login dengan role berwenang.
2. Buka Assets List/Detail dan catat adanya tombol Transfer.
3. Login dengan AUDITOR atau role non-operasional.
4. Bandingkan UI.</t>
  </si>
  <si>
    <t>- Transfer action muncul untuk role berwenang.
- Transfer action tidak muncul untuk role baca saja.
- Tidak ada celah bypass dari UI normal.</t>
  </si>
  <si>
    <t>ASSET-025</t>
  </si>
  <si>
    <t>Coverage Integration</t>
  </si>
  <si>
    <t>Memastikan asset yang memiliki coverage dates muncul secara benar pada modul Reports / Asset Coverage.</t>
  </si>
  <si>
    <t>Asset telah dibuat dengan warranty/support/subscription dates.</t>
  </si>
  <si>
    <t>1. Buat atau edit asset dengan coverage dates.
2. Buka modul Reports / Asset Coverage.
3. Cari asset tersebut.</t>
  </si>
  <si>
    <t>- Asset muncul dengan coverage kind yang benar.
- Health coverage sesuai rentang tanggal.
- Data asset konsisten antara detail asset dan laporan.</t>
  </si>
  <si>
    <t>APPR-001</t>
  </si>
  <si>
    <t>Approvals</t>
  </si>
  <si>
    <t>Approval Queue</t>
  </si>
  <si>
    <t>Memastikan queue approval dapat difilter berdasarkan status.</t>
  </si>
  <si>
    <t>Minimal ada approval status PENDING dan APPROVED.</t>
  </si>
  <si>
    <t>1. Buka halaman Approvals.
2. Pilih filter status PENDING.
3. Ulangi untuk APPROVED dan REJECTED.</t>
  </si>
  <si>
    <t>- List menampilkan approval sesuai status.
- Pagination tetap konsisten.
- Record yang dibuka sesuai tenant.</t>
  </si>
  <si>
    <t>APPR-002</t>
  </si>
  <si>
    <t>Approve</t>
  </si>
  <si>
    <t>Memastikan decider yang berwenang dapat approve approval.</t>
  </si>
  <si>
    <t>TENANT_ADMIN/ITAM_MANAGER/PROCUREMENT_CONTRACT_MANAGER</t>
  </si>
  <si>
    <t>Tersedia approval PENDING yang valid.</t>
  </si>
  <si>
    <t>1. Buka detail approval.
2. Pilih approve.
3. Isi decision note bila tersedia.
4. Submit keputusan.</t>
  </si>
  <si>
    <t>- Status approval berubah menjadi APPROVED.
- Workflow asal menerima hasil approve.
- Audit trail keputusan tercatat.</t>
  </si>
  <si>
    <t>APPR-003</t>
  </si>
  <si>
    <t>Reject</t>
  </si>
  <si>
    <t>Memastikan decider yang berwenang dapat reject approval.</t>
  </si>
  <si>
    <t>1. Buka detail approval.
2. Pilih reject.
3. Isi decision note.
4. Submit keputusan.</t>
  </si>
  <si>
    <t>- Status approval berubah menjadi REJECTED.
- Workflow asal mengikuti hasil reject.
- Audit trail keputusan tercatat.</t>
  </si>
  <si>
    <t>APPR-004</t>
  </si>
  <si>
    <t>Decision Guard</t>
  </si>
  <si>
    <t>Memastikan role non-decider tidak dapat mengambil keputusan approval.</t>
  </si>
  <si>
    <t>AUDITOR/ASSET_CUSTODIAN</t>
  </si>
  <si>
    <t>Approval PENDING tersedia.</t>
  </si>
  <si>
    <t>1. Login sebagai role non-decider.
2. Buka detail approval.
3. Coba jalankan approve/reject.</t>
  </si>
  <si>
    <t>- Aksi decision tidak tersedia atau ditolak backend.
- Status approval tetap tidak berubah.</t>
  </si>
  <si>
    <t>APPR-005</t>
  </si>
  <si>
    <t>Approval Detail</t>
  </si>
  <si>
    <t>Memastikan detail approval menampilkan sumber workflow, requester, status, dan catatan keputusan.</t>
  </si>
  <si>
    <t>Approval dengan source_type dan source_id valid tersedia.</t>
  </si>
  <si>
    <t>1. Buka halaman Approvals.
2. Pilih salah satu approval.
3. Buka detail approval.
4. Tinjau informasi header dan body.</t>
  </si>
  <si>
    <t>- Detail approval memuat source workflow, status, requester, created at, dan note.
- User memahami approval ini berasal dari modul mana.
- Tidak ada field penting yang kosong tanpa penjelasan.</t>
  </si>
  <si>
    <t>APPR-006</t>
  </si>
  <si>
    <t>Memastikan queue approval dapat dicari berdasarkan keyword dan source workflow.</t>
  </si>
  <si>
    <t>Tersedia approval dari lebih dari satu source workflow.</t>
  </si>
  <si>
    <t>1. Buka halaman Approvals.
2. Gunakan keyword pencarian atau filter source workflow bila tersedia.
3. Bandingkan hasil sebelum dan sesudah filter.</t>
  </si>
  <si>
    <t>- Hasil queue menyempit sesuai keyword/source.
- Approval dari modul berbeda dapat dibedakan.
- Tidak ada data tenant lain yang ikut tampil.</t>
  </si>
  <si>
    <t>APPR-007</t>
  </si>
  <si>
    <t>Memastikan reject yang membutuhkan decision note tidak dapat disubmit tanpa catatan.</t>
  </si>
  <si>
    <t>Approval PENDING tersedia; policy note reject diterapkan atau disimulasikan.</t>
  </si>
  <si>
    <t>1. Buka detail approval PENDING.
2. Pilih Reject.
3. Kosongkan decision note.
4. Submit keputusan.</t>
  </si>
  <si>
    <t>- Sistem menolak submit reject tanpa data wajib.
- Pesan validasi tampil.
- Status approval tetap PENDING sampai input lengkap.</t>
  </si>
  <si>
    <t>APPR-008</t>
  </si>
  <si>
    <t>Source Workflow Sync</t>
  </si>
  <si>
    <t>Memastikan approve mengubah status atau kelanjutan workflow asal secara konsisten.</t>
  </si>
  <si>
    <t>Tersedia approval yang berasal dari lifecycle asset atau workflow lain.</t>
  </si>
  <si>
    <t>1. Catat status record sumber sebelum approval.
2. Approve approval terkait.
3. Kembali ke modul sumber.
4. Periksa status record sumber.</t>
  </si>
  <si>
    <t>- Record sumber menerima hasil approve.
- State/phase workflow asal berubah sesuai aturan.
- Audit trail di approval dan source tetap sinkron.</t>
  </si>
  <si>
    <t>APPR-009</t>
  </si>
  <si>
    <t>Memastikan reject menghentikan atau mengembalikan workflow asal sesuai aturan.</t>
  </si>
  <si>
    <t>Tersedia approval yang berasal dari workflow aktif.</t>
  </si>
  <si>
    <t>1. Catat status record sumber.
2. Reject approval.
3. Kembali ke modul sumber.
4. Periksa hasil akhir di record sumber.</t>
  </si>
  <si>
    <t>- Workflow asal mengikuti hasil reject.
- Tidak ada state final yang salah seolah-olah approve.
- Catatan keputusan dapat dilihat ulang.</t>
  </si>
  <si>
    <t>APPR-010</t>
  </si>
  <si>
    <t>Duplicate Decision Guard</t>
  </si>
  <si>
    <t>Memastikan approval yang sudah diputuskan tidak bisa diputuskan ulang.</t>
  </si>
  <si>
    <t>Approval APPROVED atau REJECTED tersedia.</t>
  </si>
  <si>
    <t>1. Buka approval yang sudah final.
2. Coba jalankan approve/reject lagi.
3. Amati tombol aksi dan respons backend.</t>
  </si>
  <si>
    <t>- Aksi decision kedua tidak tersedia atau ditolak.
- Status approval final tetap sama.
- Tidak ada audit trail ganda yang menyalahi logika workflow.</t>
  </si>
  <si>
    <t>APPR-011</t>
  </si>
  <si>
    <t>Read History</t>
  </si>
  <si>
    <t>Memastikan histori keputusan approval dapat dibaca kembali oleh role baca.</t>
  </si>
  <si>
    <t>AUDITOR/TENANT_ADMIN/ITAM_MANAGER</t>
  </si>
  <si>
    <t>Approval final tersedia.</t>
  </si>
  <si>
    <t>1. Buka detail approval yang sudah final.
2. Periksa status akhir, note, actor, dan timestamp.
3. Cocokkan dengan workflow sumber bila perlu.</t>
  </si>
  <si>
    <t>- Histori keputusan jelas.
- Actor dan waktu keputusan terbaca.
- Approval final tetap read-only.</t>
  </si>
  <si>
    <t>APPR-012</t>
  </si>
  <si>
    <t>Tenant Isolation</t>
  </si>
  <si>
    <t>Memastikan approval hanya menampilkan data tenant milik user yang login.</t>
  </si>
  <si>
    <t>Semua role yang dapat membuka approvals</t>
  </si>
  <si>
    <t>Siapkan dua tenant dengan approval berbeda.</t>
  </si>
  <si>
    <t>1. Login tenant A dan catat approval di queue.
2. Logout lalu login tenant B.
3. Bandingkan queue dan detail yang bisa dibuka.</t>
  </si>
  <si>
    <t>- Tiap tenant hanya melihat approval tenant sendiri.
- Tidak ada kebocoran source workflow lintas tenant.
- Akses detail approval tenant lain ditolak.</t>
  </si>
  <si>
    <t>DOC-001</t>
  </si>
  <si>
    <t>Dokumen &amp; Bukti</t>
  </si>
  <si>
    <t>Documents</t>
  </si>
  <si>
    <t>Documents List</t>
  </si>
  <si>
    <t>Memastikan dokumen dapat dicari berdasarkan status dan type.</t>
  </si>
  <si>
    <t>Minimal ada dokumen di beberapa status.</t>
  </si>
  <si>
    <t>1. Buka Documents.
2. Filter status DRAFT / IN_REVIEW / APPROVED / PUBLISHED / ARCHIVED.
3. Isi Type bila perlu.
4. Amati hasil list.</t>
  </si>
  <si>
    <t>- List sesuai filter.
- Status workflow mudah dipantau.
- Search/filter tidak menampilkan data tenant lain.</t>
  </si>
  <si>
    <t>DOC-002</t>
  </si>
  <si>
    <t>Create Draft</t>
  </si>
  <si>
    <t>Memastikan dokumen baru dan initial version berhasil dibuat.</t>
  </si>
  <si>
    <t>User memiliki role write.</t>
  </si>
  <si>
    <t>1. Buka Documents.
2. Klik New Document.
3. Isi doc_type_code, title, dan content_json.
4. Simpan.</t>
  </si>
  <si>
    <t>- Dokumen baru tersimpan.
- Version 1 terbentuk.
- Status awal sesuai workflow awal.</t>
  </si>
  <si>
    <t>DOC-003</t>
  </si>
  <si>
    <t>Submit for Review</t>
  </si>
  <si>
    <t>Memastikan dokumen dapat dipindahkan dari DRAFT ke IN_REVIEW.</t>
  </si>
  <si>
    <t>Dokumen status DRAFT tersedia.</t>
  </si>
  <si>
    <t>1. Buka detail dokumen DRAFT.
2. Klik submit / action setara.
3. Konfirmasi aksi.</t>
  </si>
  <si>
    <t>- Status berubah menjadi IN_REVIEW.
- Dokumen siap masuk proses review formal.</t>
  </si>
  <si>
    <t>DOC-004</t>
  </si>
  <si>
    <t>Approve-Publish-Archive</t>
  </si>
  <si>
    <t>Memastikan workflow akhir dokumen berjalan berurutan.</t>
  </si>
  <si>
    <t>TENANT_ADMIN</t>
  </si>
  <si>
    <t>Dokumen berada di status IN_REVIEW atau APPROVED sesuai langkah yang diuji.</t>
  </si>
  <si>
    <t>1. Buka detail dokumen.
2. Lakukan action approve.
3. Lanjutkan publish.
4. Terakhir lakukan archive bila tersedia.</t>
  </si>
  <si>
    <t>- Dokumen bergerak sesuai urutan status.
- Status akhir sesuai aksi yang dipilih.
- Tidak ada lompatan status yang tidak valid.</t>
  </si>
  <si>
    <t>DOC-005</t>
  </si>
  <si>
    <t>Edit Restriction</t>
  </si>
  <si>
    <t>Memastikan dokumen yang sudah final tidak bisa diedit sembarangan.</t>
  </si>
  <si>
    <t>Dokumen PUBLISHED atau ARCHIVED tersedia.</t>
  </si>
  <si>
    <t>1. Buka dokumen dengan status final.
2. Coba ubah isi dokumen.
3. Simpan perubahan.</t>
  </si>
  <si>
    <t>- Edit dibatasi atau ditolak.
- Integritas versioning tetap terjaga.</t>
  </si>
  <si>
    <t>DOC-006</t>
  </si>
  <si>
    <t>Versioning</t>
  </si>
  <si>
    <t>Memastikan perubahan dokumen membentuk versi baru dan histori versi dapat dibaca.</t>
  </si>
  <si>
    <t>Dokumen draft atau dokumen yang dapat direvisi tersedia.</t>
  </si>
  <si>
    <t>1. Buka detail dokumen.
2. Lakukan perubahan isi atau metadata yang diizinkan.
3. Simpan revisi.
4. Buka daftar versi/histori dokumen.</t>
  </si>
  <si>
    <t>- Versi baru terbentuk sesuai aturan.
- Versi lama tetap dapat ditelusuri.
- User dapat membedakan versi aktif dan versi sebelumnya.</t>
  </si>
  <si>
    <t>DOC-007</t>
  </si>
  <si>
    <t>Filter &amp; Search</t>
  </si>
  <si>
    <t>Memastikan dokumen dapat dicari berdasarkan judul/keyword dan dipantau berdasarkan status workflow.</t>
  </si>
  <si>
    <t>Minimal ada beberapa dokumen dengan judul dan status berbeda.</t>
  </si>
  <si>
    <t>1. Buka Documents.
2. Cari berdasarkan keyword judul.
3. Kombinasikan dengan filter status.
4. Buka satu hasil pencarian.</t>
  </si>
  <si>
    <t>- Hasil list sesuai kombinasi keyword dan status.
- Dokumen target mudah ditemukan.
- Detail dokumen yang dibuka sesuai hasil filter.</t>
  </si>
  <si>
    <t>DOC-008</t>
  </si>
  <si>
    <t>Workflow Guard</t>
  </si>
  <si>
    <t>Memastikan publish tidak dapat dilakukan langsung dari DRAFT tanpa urutan workflow yang benar.</t>
  </si>
  <si>
    <t>1. Buka detail dokumen DRAFT.
2. Coba jalankan action publish secara langsung bila tombol/route tersedia.
3. Amati hasil.</t>
  </si>
  <si>
    <t>- Publish langsung ditolak atau tombol tidak tersedia.
- Dokumen harus melewati urutan workflow yang valid.
- Status tetap konsisten.</t>
  </si>
  <si>
    <t>DOC-009</t>
  </si>
  <si>
    <t>Evidence Relation</t>
  </si>
  <si>
    <t>Memastikan evidence dapat ditautkan dari detail dokumen.</t>
  </si>
  <si>
    <t>Dokumen tersedia; file evidence tersedia di library.</t>
  </si>
  <si>
    <t>1. Buka detail dokumen.
2. Pilih attach/add evidence.
3. Pilih file dari library evidence.
4. Simpan relation.</t>
  </si>
  <si>
    <t>- Evidence tampil di detail dokumen.
- Relation tersimpan dan bisa dibuka ulang.
- Dokumen memiliki bukti pendukung formal.</t>
  </si>
  <si>
    <t>DOC-010</t>
  </si>
  <si>
    <t>Read Access</t>
  </si>
  <si>
    <t>Memastikan role baca dapat membuka dokumen tanpa bisa mengubah workflow atau isi final.</t>
  </si>
  <si>
    <t>Dokumen pada beberapa status tersedia.</t>
  </si>
  <si>
    <t>1. Login sebagai AUDITOR.
2. Buka list dan detail dokumen.
3. Coba edit isi atau ubah status dokumen.</t>
  </si>
  <si>
    <t>- Dokumen dapat dibaca.
- Action write/workflow tidak tersedia atau ditolak.
- Status dan isi tidak berubah.</t>
  </si>
  <si>
    <t>DOC-011</t>
  </si>
  <si>
    <t>Archive</t>
  </si>
  <si>
    <t>Memastikan dokumen archived tetap dapat ditelusuri tetapi tidak aktif untuk edit lanjutan.</t>
  </si>
  <si>
    <t>Dokumen PUBLISHED tersedia.</t>
  </si>
  <si>
    <t>1. Archive dokumen yang telah published.
2. Cari kembali dokumen tersebut di list.
3. Buka detail archived document.</t>
  </si>
  <si>
    <t>- Status berubah menjadi ARCHIVED.
- Dokumen masih dapat ditemukan untuk referensi.
- Tidak ada edit aktif yang merusak jejak final.</t>
  </si>
  <si>
    <t>DOC-012</t>
  </si>
  <si>
    <t>Memastikan dokumen tenant lain tidak dapat dilihat atau dibuka.</t>
  </si>
  <si>
    <t>Siapkan tenant A dan tenant B dengan dokumen masing-masing.</t>
  </si>
  <si>
    <t>1. Login tenant A dan catat dokumen yang terlihat.
2. Login tenant B.
3. Coba akses ID dokumen tenant A dari tenant B.</t>
  </si>
  <si>
    <t>- List hanya menampilkan dokumen tenant aktif.
- Akses detail dokumen tenant lain ditolak.
- Tidak ada kebocoran versi atau content JSON lintas tenant.</t>
  </si>
  <si>
    <t>EVID-001</t>
  </si>
  <si>
    <t>Evidence</t>
  </si>
  <si>
    <t>Upload</t>
  </si>
  <si>
    <t>Memastikan file evidence valid dapat di-upload.</t>
  </si>
  <si>
    <t>User role valid; file ukuran dan tipe diperbolehkan tersedia.</t>
  </si>
  <si>
    <t>1. Buka halaman Evidence.
2. Pilih file yang valid.
3. Submit upload.
4. Refresh library evidence.</t>
  </si>
  <si>
    <t>- File tersimpan di library.
- Metadata file dapat dicari.
- File dapat diunduh.</t>
  </si>
  <si>
    <t>contoh: PDF/JPG/PNG di bawah limit</t>
  </si>
  <si>
    <t>EVID-002</t>
  </si>
  <si>
    <t>Upload Validation</t>
  </si>
  <si>
    <t>Memastikan file yang melanggar aturan upload ditolak.</t>
  </si>
  <si>
    <t>Siapkan file dengan ukuran atau tipe yang tidak diperbolehkan.</t>
  </si>
  <si>
    <t>1. Buka halaman Evidence.
2. Pilih file yang tidak valid.
3. Submit upload.</t>
  </si>
  <si>
    <t>- Upload ditolak.
- Pesan validasi tampil.
- Tidak ada record evidence baru.</t>
  </si>
  <si>
    <t>EVID-003</t>
  </si>
  <si>
    <t>Attach to Record</t>
  </si>
  <si>
    <t>Memastikan evidence dapat dihubungkan ke asset/document/approval/contract.</t>
  </si>
  <si>
    <t>Tersedia file evidence dan record target.</t>
  </si>
  <si>
    <t>1. Buka record target.
2. Pilih attach evidence.
3. Pilih file evidence dari library.
4. Simpan relation.</t>
  </si>
  <si>
    <t>- Evidence tampil di record target.
- Relation tersimpan dan dapat dibuka ulang.
- Tidak ada duplikasi relation yang tidak perlu.</t>
  </si>
  <si>
    <t>EVID-004</t>
  </si>
  <si>
    <t>Search &amp; Download</t>
  </si>
  <si>
    <t>Memastikan evidence dapat dicari dari library dan diunduh kembali.</t>
  </si>
  <si>
    <t>Evidence sudah ada di library.</t>
  </si>
  <si>
    <t>1. Cari evidence berdasarkan filename, mime, atau sha.
2. Buka hasil pencarian.
3. Unduh file.</t>
  </si>
  <si>
    <t>- Search mengembalikan file yang benar.
- Download berhasil.
- File hasil download sesuai file asal.</t>
  </si>
  <si>
    <t>EVID-005</t>
  </si>
  <si>
    <t>Evidence Link</t>
  </si>
  <si>
    <t>Memastikan evidence link (URL) dapat dibuat dan digunakan sebagai bukti non-file.</t>
  </si>
  <si>
    <t>Fitur evidence link tersedia; URL valid disiapkan.</t>
  </si>
  <si>
    <t>1. Buka modul Evidence atau record target.
2. Pilih tambah evidence link.
3. Isi judul/label dan URL.
4. Simpan.</t>
  </si>
  <si>
    <t>- Evidence link tersimpan.
- URL dapat dibuka kembali dari record.
- Bukti non-file terdokumentasi dengan rapi.</t>
  </si>
  <si>
    <t>EVID-006</t>
  </si>
  <si>
    <t>Detach Relation</t>
  </si>
  <si>
    <t>Memastikan relation evidence ke record dapat dilepas tanpa menghapus library utamanya.</t>
  </si>
  <si>
    <t>Evidence sudah ter-attach ke asset/document/contract.</t>
  </si>
  <si>
    <t>1. Buka detail record target.
2. Pilih unlink/detach evidence.
3. Simpan perubahan.
4. Cek library evidence.</t>
  </si>
  <si>
    <t>- Relation ke record target hilang.
- File utama tetap ada di library evidence.
- Record target tidak lagi menampilkan evidence tersebut.</t>
  </si>
  <si>
    <t>EVID-007</t>
  </si>
  <si>
    <t>Max Size Guard</t>
  </si>
  <si>
    <t>Memastikan file melebihi limit upload ditolak.</t>
  </si>
  <si>
    <t>Siapkan file di atas limit upload yang berlaku.</t>
  </si>
  <si>
    <t>1. Buka halaman upload evidence.
2. Pilih file yang ukurannya melebihi limit.
3. Submit upload.</t>
  </si>
  <si>
    <t>- Upload ditolak.
- Pesan limit ukuran tampil.
- Tidak ada record evidence baru yang tersimpan.</t>
  </si>
  <si>
    <t>contoh file &gt; 10 MB</t>
  </si>
  <si>
    <t>EVID-008</t>
  </si>
  <si>
    <t>Duplicate Attach Guard</t>
  </si>
  <si>
    <t>Memastikan attach evidence yang sama ke target yang sama tidak menimbulkan duplikasi relation yang tidak perlu.</t>
  </si>
  <si>
    <t>Satu evidence sudah lebih dulu di-attach ke record target.</t>
  </si>
  <si>
    <t>1. Buka record target.
2. Pilih attach evidence yang sama sekali lagi.
3. Simpan relation.</t>
  </si>
  <si>
    <t>- Sistem mencegah duplikasi relation atau menampilkan warning yang jelas.
- Detail target tidak berisi relation ganda yang membingungkan.</t>
  </si>
  <si>
    <t>EVID-009</t>
  </si>
  <si>
    <t>Metadata Library</t>
  </si>
  <si>
    <t>Memastikan metadata evidence seperti nama file, mime type, size, checksum/sha dapat dibaca dari library.</t>
  </si>
  <si>
    <t>Evidence tersimpan di library.</t>
  </si>
  <si>
    <t>1. Buka library evidence.
2. Buka salah satu record.
3. Periksa metadata file yang ditampilkan.</t>
  </si>
  <si>
    <t>- Metadata utama tampil.
- User dapat mengenali file tanpa harus men-download lebih dulu.
- Pencarian berbasis metadata lebih mudah dilakukan.</t>
  </si>
  <si>
    <t>EVID-010</t>
  </si>
  <si>
    <t>Read-Only Guard</t>
  </si>
  <si>
    <t>Memastikan role baca hanya dapat melihat evidence tanpa upload/attach/unlink.</t>
  </si>
  <si>
    <t>Evidence library tersedia.</t>
  </si>
  <si>
    <t>1. Login sebagai AUDITOR.
2. Buka library evidence dan salah satu record target.
3. Coba upload atau unlink evidence.</t>
  </si>
  <si>
    <t>- Evidence dapat dibaca/diunduh bila diizinkan.
- Tombol write tidak tersedia atau backend menolak.
- Integritas relation tetap aman.</t>
  </si>
  <si>
    <t>AUD-001</t>
  </si>
  <si>
    <t>Audit Events</t>
  </si>
  <si>
    <t>Filter Audit Trail</t>
  </si>
  <si>
    <t>Memastikan audit trail dapat difilter untuk investigasi.</t>
  </si>
  <si>
    <t>Data audit event tersedia.</t>
  </si>
  <si>
    <t>1. Buka Audit Events.
2. Filter berdasarkan actor, entity, action, status, dan tanggal.
3. Buka beberapa record hasil.</t>
  </si>
  <si>
    <t>- Record audit menyesuaikan filter.
- Payload/detail dapat dibaca.
- Data tetap read-only.</t>
  </si>
  <si>
    <t>AUD-002</t>
  </si>
  <si>
    <t>Memastikan audit trail tidak menyediakan aksi perubahan data.</t>
  </si>
  <si>
    <t>Semua role yang bisa baca</t>
  </si>
  <si>
    <t>User dapat membuka Audit Events.</t>
  </si>
  <si>
    <t>1. Buka Audit Events.
2. Periksa apakah ada tombol create/update/delete.
3. Coba lakukan perubahan bila ada tombol yang mencurigakan.</t>
  </si>
  <si>
    <t>- Tidak ada aksi write.
- Data audit tetap read-only.</t>
  </si>
  <si>
    <t>AUD-003</t>
  </si>
  <si>
    <t>Export</t>
  </si>
  <si>
    <t>Memastikan data audit dapat diexport.</t>
  </si>
  <si>
    <t>Fitur export tersedia.</t>
  </si>
  <si>
    <t>1. Buka Audit Events.
2. Terapkan filter tertentu.
3. Klik Export / JSON export.
4. Buka file hasil export.</t>
  </si>
  <si>
    <t>- File export berhasil diunduh.
- Konten export sesuai filter yang diterapkan.</t>
  </si>
  <si>
    <t>AUD-004</t>
  </si>
  <si>
    <t>Module Filter</t>
  </si>
  <si>
    <t>Memastikan audit events dapat difilter berdasarkan modul atau entity type.</t>
  </si>
  <si>
    <t>Audit event dari beberapa modul tersedia.</t>
  </si>
  <si>
    <t>1. Buka Audit Events.
2. Gunakan filter modul/entity.
3. Bandingkan hasil sebelum dan sesudah filter.</t>
  </si>
  <si>
    <t>- Hasil audit events menyempit sesuai modul/entity.
- Event dari modul lain tidak mendominasi hasil.
- Tracking perubahan per area menjadi lebih mudah.</t>
  </si>
  <si>
    <t>AUD-005</t>
  </si>
  <si>
    <t>Actor &amp; Date Filter</t>
  </si>
  <si>
    <t>Memastikan audit events dapat difilter berdasarkan actor dan rentang waktu.</t>
  </si>
  <si>
    <t>Audit event dengan actor dan tanggal berbeda tersedia.</t>
  </si>
  <si>
    <t>1. Buka Audit Events.
2. Pilih actor tertentu dan rentang tanggal.
3. Terapkan filter.</t>
  </si>
  <si>
    <t>- Daftar event mengikuti actor dan tanggal yang dipilih.
- Event lama/berbeda actor tidak ikut tampil.
- Filter membantu investigasi insiden/perubahan.</t>
  </si>
  <si>
    <t>AUD-006</t>
  </si>
  <si>
    <t>Payload View</t>
  </si>
  <si>
    <t>Memastikan payload JSON atau detail perubahan dapat dibuka tanpa error.</t>
  </si>
  <si>
    <t>Audit event dengan payload tersedia.</t>
  </si>
  <si>
    <t>1. Buka salah satu event.
2. Tampilkan payload/detail change.
3. Periksa format dan keterbacaan data.</t>
  </si>
  <si>
    <t>- Payload/detail change tampil dengan format yang dapat dibaca.
- Informasi before/after atau action context terlihat.
- Tidak terjadi error render JSON.</t>
  </si>
  <si>
    <t>AUD-007</t>
  </si>
  <si>
    <t>Memastikan audit events benar-benar read-only dan tidak menyediakan aksi perubahan data.</t>
  </si>
  <si>
    <t>User dapat membuka modul Audit Events.</t>
  </si>
  <si>
    <t>1. Buka Audit Events.
2. Tinjau semua action yang tersedia.
3. Coba cari tombol edit/delete/reprocess.</t>
  </si>
  <si>
    <t>- Audit Events hanya menyediakan baca/filter/detail.
- Tidak ada aksi mutasi terhadap record audit.
- Integritas trail tetap terjaga.</t>
  </si>
  <si>
    <t>AUD-008</t>
  </si>
  <si>
    <t>Memastikan event audit tenant lain tidak muncul pada tenant aktif.</t>
  </si>
  <si>
    <t>Siapkan dua tenant dengan aktivitas berbeda.</t>
  </si>
  <si>
    <t>1. Login tenant A dan buka Audit Events.
2. Catat event yang muncul.
3. Login tenant B dan bandingkan.</t>
  </si>
  <si>
    <t>- Tiap tenant hanya melihat audit trail tenant sendiri.
- Tidak ada kebocoran actor, payload, atau entity lintas tenant.</t>
  </si>
  <si>
    <t>GOV-001</t>
  </si>
  <si>
    <t>Governance &amp; Assurance</t>
  </si>
  <si>
    <t>Governance</t>
  </si>
  <si>
    <t>Scope Versions</t>
  </si>
  <si>
    <t>Memastikan draft scope version dapat dibuat.</t>
  </si>
  <si>
    <t>Asset types, departments, dan locations master sudah ada.</t>
  </si>
  <si>
    <t>1. Buka Governance Scope.
2. Klik create draft.
3. Isi Version Note, scope selections, environment, dan catatan tambahan.
4. Simpan.</t>
  </si>
  <si>
    <t>- Draft scope tersimpan.
- Status awal berada di DRAFT.
- Pilihan scope tersimpan lengkap.</t>
  </si>
  <si>
    <t>GOV-002</t>
  </si>
  <si>
    <t>Scope Workflow</t>
  </si>
  <si>
    <t>Memastikan scope version dapat disubmit, di-approve, dan di-activate.</t>
  </si>
  <si>
    <t>Scope draft tersedia.</t>
  </si>
  <si>
    <t>1. Buka draft scope.
2. Submit scope.
3. Jalankan approve.
4. Aktifkan scope yang telah approved.</t>
  </si>
  <si>
    <t>- Status berubah berurutan menjadi SUBMITTED, APPROVED, lalu ACTIVE.
- Versi active sebelumnya menjadi SUPERSEDED bila ada.
- Riwayat scope konsisten.</t>
  </si>
  <si>
    <t>GOV-003</t>
  </si>
  <si>
    <t>Context Register</t>
  </si>
  <si>
    <t>Memastikan context register dapat dibuat dan diperbarui.</t>
  </si>
  <si>
    <t>Identities tenant tersedia.</t>
  </si>
  <si>
    <t>1. Buka Governance Context.
2. Buat entri baru dengan Category, Priority, Status, Owner Identity, dan Review Date.
3. Simpan.
4. Edit satu field lalu simpan ulang.</t>
  </si>
  <si>
    <t>- Entry context tersimpan.
- Edit berhasil dipersist.
- Category/status/priority sesuai opsi yang disediakan.</t>
  </si>
  <si>
    <t>GOV-004</t>
  </si>
  <si>
    <t>Stakeholder Register</t>
  </si>
  <si>
    <t>Memastikan stakeholder register dapat dibuat dan dipantau.</t>
  </si>
  <si>
    <t>1. Buka Governance Stakeholders.
2. Buat stakeholder baru dengan category, priority, status, owner, expectations, dan review date.
3. Simpan.</t>
  </si>
  <si>
    <t>- Stakeholder tersimpan.
- Review date dan owner tercatat.
- Category sesuai daftar yang valid.</t>
  </si>
  <si>
    <t>GOV-005</t>
  </si>
  <si>
    <t>Memastikan AUDITOR hanya memiliki akses baca pada governance.</t>
  </si>
  <si>
    <t>Data governance tersedia.</t>
  </si>
  <si>
    <t>1. Login sebagai AUDITOR.
2. Buka scope/context/stakeholders.
3. Coba cari tombol create/edit/submit.</t>
  </si>
  <si>
    <t>- AUDITOR dapat membaca data.
- Aksi write tidak tersedia atau ditolak.</t>
  </si>
  <si>
    <t>GOV-006</t>
  </si>
  <si>
    <t>Review Date Monitoring</t>
  </si>
  <si>
    <t>Memastikan field review date dapat dipakai untuk monitoring entri governance.</t>
  </si>
  <si>
    <t>Entry governance dengan review date tersedia.</t>
  </si>
  <si>
    <t>1. Buka list context atau stakeholders.
2. Urutkan/cari entri yang review date-nya dekat.
3. Buka detail entri.</t>
  </si>
  <si>
    <t>- Review date terbaca jelas.
- Data owner dan status mendukung tindak lanjut.</t>
  </si>
  <si>
    <t>GOV-007</t>
  </si>
  <si>
    <t>Scope Activate Supersede</t>
  </si>
  <si>
    <t>Memastikan scope version yang baru aktif men-supersede scope aktif sebelumnya.</t>
  </si>
  <si>
    <t>Sudah ada satu scope version aktif dan satu draft baru.</t>
  </si>
  <si>
    <t>1. Buat atau siapkan scope version baru.
2. Submit, approve, lalu activate scope baru.
3. Buka daftar scope versions.</t>
  </si>
  <si>
    <t>- Scope baru menjadi aktif.
- Scope aktif sebelumnya tidak lagi aktif.
- Riwayat versi tetap dapat ditelusuri.</t>
  </si>
  <si>
    <t>GOV-008</t>
  </si>
  <si>
    <t>Scope Workflow Guard</t>
  </si>
  <si>
    <t>Memastikan action activate tidak bisa dilakukan sebelum submit/approve sesuai urutan workflow.</t>
  </si>
  <si>
    <t>Scope version masih di tahap awal/draft.</t>
  </si>
  <si>
    <t>1. Buka detail scope version draft.
2. Coba jalankan activate langsung.
3. Amati hasil.</t>
  </si>
  <si>
    <t>- Action invalid ditolak atau tidak tersedia.
- Scope tetap berada di status semula.
- Workflow hanya dapat bergerak sesuai urutan.</t>
  </si>
  <si>
    <t>GOV-009</t>
  </si>
  <si>
    <t>Memastikan context register dapat diberi kategori, priority, owner, dan status monitoring.</t>
  </si>
  <si>
    <t>Master identity/owner tersedia.</t>
  </si>
  <si>
    <t>1. Buka Context Register.
2. Tambah context baru.
3. Isi kategori, priority, owner identity, dan status.
4. Simpan.</t>
  </si>
  <si>
    <t>- Entri context tersimpan.
- Priority/owner/status dapat dibaca ulang.
- Register siap dipakai untuk monitoring.</t>
  </si>
  <si>
    <t>GOV-010</t>
  </si>
  <si>
    <t>Memastikan stakeholder dapat diberi klasifikasi, owner, dan review date untuk tindak lanjut.</t>
  </si>
  <si>
    <t>Identity owner tersedia.</t>
  </si>
  <si>
    <t>1. Buka Stakeholder Register.
2. Buat stakeholder baru.
3. Isi category/priority/owner/review date.
4. Simpan.</t>
  </si>
  <si>
    <t>- Stakeholder tersimpan dengan atribut monitoring lengkap.
- Review date dapat dipakai untuk follow-up.
- Register mudah ditelusuri kembali.</t>
  </si>
  <si>
    <t>GOV-011</t>
  </si>
  <si>
    <t>Search &amp; Filter</t>
  </si>
  <si>
    <t>Memastikan register governance dapat dicari dan difilter tanpa mencampur jenis data.</t>
  </si>
  <si>
    <t>Tersedia beberapa scope/context/stakeholder entries.</t>
  </si>
  <si>
    <t>1. Buka salah satu register governance.
2. Gunakan pencarian atau filter status/priority bila tersedia.
3. Buka salah satu hasil.</t>
  </si>
  <si>
    <t>- Hasil pencarian relevan.
- Entri mudah ditemukan kembali untuk review.
- Data antar register tidak tertukar.</t>
  </si>
  <si>
    <t>GOV-012</t>
  </si>
  <si>
    <t>Memastikan scope/context/stakeholder hanya terlihat di tenant yang tepat.</t>
  </si>
  <si>
    <t>Siapkan dua tenant dengan data governance masing-masing.</t>
  </si>
  <si>
    <t>1. Login tenant A dan lihat data governance.
2. Login tenant B.
3. Coba akses ID data governance tenant A.</t>
  </si>
  <si>
    <t>- Tenant hanya melihat data governance miliknya.
- Akses detail tenant lain ditolak.
- Tidak ada kebocoran scope aktif lintas tenant.</t>
  </si>
  <si>
    <t>VEND-001</t>
  </si>
  <si>
    <t>Komersial &amp; Lisensi</t>
  </si>
  <si>
    <t>Vendors</t>
  </si>
  <si>
    <t>Vendor List</t>
  </si>
  <si>
    <t>Memastikan vendor dapat dicari berdasarkan code/name/type/contact.</t>
  </si>
  <si>
    <t>Read roles vendor</t>
  </si>
  <si>
    <t>Beberapa vendor tersedia.</t>
  </si>
  <si>
    <t>1. Buka Vendors.
2. Cari vendor berdasarkan code atau name.
3. Uji filter status dan vendor type.</t>
  </si>
  <si>
    <t>- List vendor menyesuaikan filter.
- Status ACTIVE/INACTIVE terbaca.
- Tidak ada data tenant lain yang tampil.</t>
  </si>
  <si>
    <t>VEND-002</t>
  </si>
  <si>
    <t>Create Vendor</t>
  </si>
  <si>
    <t>Memastikan vendor baru dapat dibuat.</t>
  </si>
  <si>
    <t>SUPERADMIN/TENANT_ADMIN/ITAM_MANAGER/PROCUREMENT_CONTRACT_MANAGER</t>
  </si>
  <si>
    <t>Role write tersedia.</t>
  </si>
  <si>
    <t>1. Buka Vendors.
2. Klik create vendor.
3. Isi Vendor Code, Vendor Name, contact info, type, status, notes.
4. Simpan.</t>
  </si>
  <si>
    <t>- Vendor baru tersimpan.
- Vendor muncul di list.
- Vendor aktif dapat dipilih pada modul lain.</t>
  </si>
  <si>
    <t>VEND-003</t>
  </si>
  <si>
    <t>Vendor Reuse</t>
  </si>
  <si>
    <t>Memastikan vendor aktif dapat digunakan oleh Contracts dan Software Products.</t>
  </si>
  <si>
    <t>Write roles vendor/contract/software</t>
  </si>
  <si>
    <t>Vendor ACTIVE tersedia.</t>
  </si>
  <si>
    <t>1. Buat atau pilih vendor ACTIVE.
2. Buka create contract dan periksa dropdown vendor.
3. Buka create software product dan periksa publisher vendor.</t>
  </si>
  <si>
    <t>- Vendor ACTIVE muncul pada dropdown terkait.
- Vendor INACTIVE tidak dipilih bila memang dibatasi.</t>
  </si>
  <si>
    <t>VEND-004</t>
  </si>
  <si>
    <t>Memastikan vendor baru dapat dibuat dengan vendor code unik per tenant.</t>
  </si>
  <si>
    <t>1. Buka Vendors.
2. Klik New Vendor.
3. Isi vendor code, vendor name, vendor type, status, dan contact info.
4. Simpan.</t>
  </si>
  <si>
    <t>- Vendor baru tersimpan.
- Vendor muncul di list.
- Vendor siap dipakai saat create contract.</t>
  </si>
  <si>
    <t>VEND-005</t>
  </si>
  <si>
    <t>Unique Code Guard</t>
  </si>
  <si>
    <t>Memastikan vendor code yang sama tidak dapat dipakai dua kali dalam tenant yang sama.</t>
  </si>
  <si>
    <t>Sudah ada vendor dengan vendor code tertentu.</t>
  </si>
  <si>
    <t>1. Buka create vendor.
2. Masukkan vendor code yang sudah dipakai.
3. Simpan.</t>
  </si>
  <si>
    <t>- Simpan gagal.
- Pesan duplicate/unique tampil.
- Tidak ada vendor ganda dengan code sama di tenant yang sama.</t>
  </si>
  <si>
    <t>VEND-006</t>
  </si>
  <si>
    <t>Edit Vendor</t>
  </si>
  <si>
    <t>Memastikan data vendor dapat diperbarui tanpa mengubah identitas logis yang tidak semestinya.</t>
  </si>
  <si>
    <t>Vendor sudah ada.</t>
  </si>
  <si>
    <t>1. Buka detail/edit vendor.
2. Ubah nama, status, atau contact info.
3. Simpan perubahan.</t>
  </si>
  <si>
    <t>- Perubahan tersimpan.
- Vendor tetap dapat direferensikan oleh contract yang sudah ada.
- Riwayat pemakaian vendor tidak rusak.</t>
  </si>
  <si>
    <t>VEND-007</t>
  </si>
  <si>
    <t>Memastikan vendor dapat dicari berdasarkan code/name dan difilter berdasarkan type/status.</t>
  </si>
  <si>
    <t>Tersedia beberapa vendor dengan type/status berbeda.</t>
  </si>
  <si>
    <t>1. Buka Vendors.
2. Cari vendor berdasarkan code atau nama.
3. Tambahkan filter type/status.
4. Buka salah satu vendor.</t>
  </si>
  <si>
    <t>- List vendor sesuai filter.
- Vendor target mudah ditemukan.
- Search tidak menampilkan data tenant lain.</t>
  </si>
  <si>
    <t>VEND-008</t>
  </si>
  <si>
    <t>Inactive Vendor Reuse</t>
  </si>
  <si>
    <t>Memastikan vendor INACTIVE tidak dapat dipilih untuk contract baru bila aturan aplikasi membatasi reuse.</t>
  </si>
  <si>
    <t>Tersedia vendor status INACTIVE.</t>
  </si>
  <si>
    <t>1. Ubah satu vendor menjadi INACTIVE.
2. Buka create contract.
3. Coba pilih vendor inactive tersebut.</t>
  </si>
  <si>
    <t>- Vendor inactive dibatasi atau ditandai dengan jelas.
- User tidak salah memilih vendor yang tidak aktif.
- Bila masih boleh dipilih, status inactive tetap terlihat jelas.</t>
  </si>
  <si>
    <t>VEND-009</t>
  </si>
  <si>
    <t>Role Guard</t>
  </si>
  <si>
    <t>Memastikan role read-only tidak dapat create/edit vendor.</t>
  </si>
  <si>
    <t>Login sebagai role baca.</t>
  </si>
  <si>
    <t>1. Buka Vendors.
2. Coba klik create/edit.
3. Coba akses route edit langsung bila perlu.</t>
  </si>
  <si>
    <t>- Aksi write tidak tersedia atau ditolak.
- Vendor tetap hanya bisa dibaca.</t>
  </si>
  <si>
    <t>VEND-010</t>
  </si>
  <si>
    <t>Memastikan vendor tenant lain tidak muncul dan tidak bisa direferensikan.</t>
  </si>
  <si>
    <t>Siapkan vendor pada dua tenant.</t>
  </si>
  <si>
    <t>1. Login tenant A dan catat vendor list.
2. Login tenant B.
3. Coba buka vendor tenant A dari tenant B.</t>
  </si>
  <si>
    <t>- Hanya vendor tenant aktif yang terlihat.
- Vendor tenant lain tidak bisa dibuka maupun dipakai untuk contract.</t>
  </si>
  <si>
    <t>CONT-001</t>
  </si>
  <si>
    <t>Contracts</t>
  </si>
  <si>
    <t>Contracts List</t>
  </si>
  <si>
    <t>Memastikan kontrak dapat difilter berdasarkan status, health, vendor, dan type.</t>
  </si>
  <si>
    <t>Kontrak dengan beberapa kombinasi status/health tersedia.</t>
  </si>
  <si>
    <t>1. Buka Contracts.
2. Filter dengan tabs status.
3. Filter Health, Vendor, dan Contract Type.
4. Periksa hasil list.</t>
  </si>
  <si>
    <t>- List kontrak sesuai filter.
- Health ACTIVE/EXPIRING/EXPIRED/NO_END_DATE tampil benar.
- Vendor terhubung benar.</t>
  </si>
  <si>
    <t>CONT-002</t>
  </si>
  <si>
    <t>Create Contract</t>
  </si>
  <si>
    <t>Memastikan kontrak baru dapat dibuat dengan vendor aktif.</t>
  </si>
  <si>
    <t>Write roles contract</t>
  </si>
  <si>
    <t>Vendor aktif tersedia.</t>
  </si>
  <si>
    <t>1. Buka Contracts.
2. Klik create.
3. Isi Contract Code, Contract Name, Vendor, Contract Type, Status, Start/End Date, Renewal Notice Days, Owner Identity, Notes.
4. Simpan.</t>
  </si>
  <si>
    <t>- Kontrak tersimpan.
- Health dapat dihitung dari tanggal.
- Kontrak tampil di list.</t>
  </si>
  <si>
    <t>CONT-003</t>
  </si>
  <si>
    <t>Document Relation</t>
  </si>
  <si>
    <t>Memastikan document dapat di-attach ke contract.</t>
  </si>
  <si>
    <t>Contract dan Document tersedia.</t>
  </si>
  <si>
    <t>1. Buka contract detail.
2. Masuk Documents tab.
3. Pilih document lalu attach.
4. Refresh detail.</t>
  </si>
  <si>
    <t>- Document tampil sebagai relation contract.
- Counter atau tab relation terupdate.</t>
  </si>
  <si>
    <t>CONT-004</t>
  </si>
  <si>
    <t>Asset Relation</t>
  </si>
  <si>
    <t>Memastikan asset dapat di-attach ke contract.</t>
  </si>
  <si>
    <t>Contract dan Asset tersedia.</t>
  </si>
  <si>
    <t>1. Buka contract detail.
2. Masuk Assets tab.
3. Pilih asset lalu attach.
4. Refresh detail.</t>
  </si>
  <si>
    <t>- Asset tampil sebagai relation contract.
- Asset yang sama dapat ditelusuri kembali dari contract detail.</t>
  </si>
  <si>
    <t>CONT-005</t>
  </si>
  <si>
    <t>Memastikan evidence dapat di-attach ke contract oleh role yang diizinkan.</t>
  </si>
  <si>
    <t>Contract dan Evidence file tersedia.</t>
  </si>
  <si>
    <t>1. Buka contract detail.
2. Masuk Evidence tab.
3. Pilih evidence file lalu attach.
4. Refresh detail.</t>
  </si>
  <si>
    <t>- Evidence tampil pada contract.
- Role yang tidak berwenang tidak dapat attach.</t>
  </si>
  <si>
    <t>CONT-006</t>
  </si>
  <si>
    <t>Entitlement &amp; Allocation</t>
  </si>
  <si>
    <t>Memastikan entitlement dan allocation dapat dibuat dari contract.</t>
  </si>
  <si>
    <t>Contract dan Software Product aktif tersedia; asset atau installation tersedia bila dibutuhkan.</t>
  </si>
  <si>
    <t>1. Buka contract detail.
2. Buat software entitlement dengan product, metric, quantity, status, dan dates.
3. Buka allocation modal.
4. Alokasikan ke asset/installation/assignment sesuai basis.
5. Simpan.</t>
  </si>
  <si>
    <t>- Entitlement tersimpan.
- Allocation tersimpan dengan status ACTIVE atau RELEASED.
- Relasi entitlement ke contract dapat dibuka ulang.</t>
  </si>
  <si>
    <t>CONT-007</t>
  </si>
  <si>
    <t>Edit Contract</t>
  </si>
  <si>
    <t>Memastikan detail kontrak dapat diperbarui tanpa merusak relasi yang sudah ada.</t>
  </si>
  <si>
    <t>Kontrak dan vendor valid sudah ada.</t>
  </si>
  <si>
    <t>1. Buka detail/edit contract.
2. Ubah nama, notes, owner identity, atau renewal notice.
3. Simpan perubahan.</t>
  </si>
  <si>
    <t>- Perubahan kontrak tersimpan.
- Relasi vendor/dokumen/aset tetap utuh.
- Detail kontrak terbaru terbaca di list dan detail.</t>
  </si>
  <si>
    <t>CONT-008</t>
  </si>
  <si>
    <t>Health Calculation</t>
  </si>
  <si>
    <t>Memastikan health kontrak berubah sesuai start_date/end_date dan status.</t>
  </si>
  <si>
    <t>Siapkan kontrak ACTIVE, EXPIRING, EXPIRED, dan NO_END_DATE.</t>
  </si>
  <si>
    <t>1. Buka list kontrak.
2. Filter health satu per satu.
3. Cocokkan hasil dengan tanggal kontrak.</t>
  </si>
  <si>
    <t>- Health tampil sesuai tanggal/status.
- Kontrak mendekati jatuh tempo masuk kategori expiring.
- Kontrak tanpa end date diberi health yang sesuai.</t>
  </si>
  <si>
    <t>CONT-009</t>
  </si>
  <si>
    <t>Create Validation</t>
  </si>
  <si>
    <t>Memastikan create contract gagal bila vendor_id tidak valid atau milik tenant lain.</t>
  </si>
  <si>
    <t>Siapkan vendor_id invalid atau dari tenant lain.</t>
  </si>
  <si>
    <t>1. Buka create contract.
2. Masukkan vendor yang tidak valid/tenant lain melalui manipulasi request bila perlu.
3. Simpan.</t>
  </si>
  <si>
    <t>- Contract tidak tersimpan.
- Pesan error tenant validation muncul.
- Tidak ada relasi vendor lintas tenant.</t>
  </si>
  <si>
    <t>CONT-010</t>
  </si>
  <si>
    <t>Document Unlink</t>
  </si>
  <si>
    <t>Memastikan document relation dapat dilepas dari contract tanpa menghapus dokumen utamanya.</t>
  </si>
  <si>
    <t>Contract sudah memiliki dokumen ter-attach.</t>
  </si>
  <si>
    <t>1. Buka detail contract.
2. Pilih unlink document relation.
3. Simpan perubahan.
4. Periksa modul Documents.</t>
  </si>
  <si>
    <t>- Relation contract-document hilang.
- Dokumen utama tetap ada di modul Documents.
- Contract detail terbarui.</t>
  </si>
  <si>
    <t>CONT-011</t>
  </si>
  <si>
    <t>Asset Unlink</t>
  </si>
  <si>
    <t>Memastikan asset relation dapat dilepas dari contract tanpa menghapus asset.</t>
  </si>
  <si>
    <t>Contract sudah memiliki asset relation.</t>
  </si>
  <si>
    <t>1. Buka detail contract.
2. Lepas relation asset.
3. Simpan.
4. Buka detail asset terkait.</t>
  </si>
  <si>
    <t>- Relation contract-asset terhapus.
- Asset tetap ada di registri asset.
- Contract dan asset tidak lagi saling menampilkan relation lama.</t>
  </si>
  <si>
    <t>CONT-012</t>
  </si>
  <si>
    <t>Memastikan role baca tidak bisa mengubah relation dan data kontrak.</t>
  </si>
  <si>
    <t>Kontrak sudah ada.</t>
  </si>
  <si>
    <t>1. Login sebagai AUDITOR.
2. Buka detail kontrak.
3. Coba edit atau attach/unlink relation.</t>
  </si>
  <si>
    <t>- Kontrak dapat dibaca.
- Aksi write/attach/unlink tidak tersedia atau ditolak.
- Integritas kontrak tetap aman.</t>
  </si>
  <si>
    <t>SW-001</t>
  </si>
  <si>
    <t>Software Products</t>
  </si>
  <si>
    <t>Product Registry</t>
  </si>
  <si>
    <t>Memastikan software product dapat dibuat dan dicari.</t>
  </si>
  <si>
    <t>Write roles software</t>
  </si>
  <si>
    <t>Vendor publisher opsional tersedia.</t>
  </si>
  <si>
    <t>1. Buka Software Products.
2. Cari product berdasarkan code atau name.
3. Buat product baru dengan category, deployment model, licensing metric, version policy, status, dan publisher vendor.
4. Simpan.</t>
  </si>
  <si>
    <t>- Product tersimpan.
- Product muncul di list.
- Publisher vendor terhubung jika dipilih.</t>
  </si>
  <si>
    <t>SW-002</t>
  </si>
  <si>
    <t>Registry Validation</t>
  </si>
  <si>
    <t>Memastikan field enum product hanya menerima nilai yang valid.</t>
  </si>
  <si>
    <t>1. Buka create/edit software product.
2. Coba isi kombinasi field yang tidak valid atau kosongkan field penting.
3. Simpan.</t>
  </si>
  <si>
    <t>- Validasi tampil.
- Record tidak tersimpan bila data tidak memenuhi aturan.</t>
  </si>
  <si>
    <t>SW-003</t>
  </si>
  <si>
    <t>Downstream Reuse</t>
  </si>
  <si>
    <t>Memastikan software product aktif dapat dipakai pada installations dan entitlements.</t>
  </si>
  <si>
    <t>Write roles software/contract</t>
  </si>
  <si>
    <t>Software product ACTIVE tersedia.</t>
  </si>
  <si>
    <t>1. Buka panel installation di asset detail.
2. Periksa dropdown Software Product.
3. Buka entitlement form di contract detail dan periksa dropdown product.</t>
  </si>
  <si>
    <t>- Product ACTIVE muncul pada dropdown downstream.
- Product yang dipilih bisa dipakai pada installation maupun entitlement.</t>
  </si>
  <si>
    <t>SW-004</t>
  </si>
  <si>
    <t>Edit Product</t>
  </si>
  <si>
    <t>Memastikan software product dapat diperbarui selama masih dalam batas aturan master data.</t>
  </si>
  <si>
    <t>Software product sudah ada.</t>
  </si>
  <si>
    <t>1. Buka detail/edit product.
2. Ubah display fields seperti name, version policy, publisher, atau notes.
3. Simpan.</t>
  </si>
  <si>
    <t>- Perubahan product tersimpan.
- Product tetap bisa direferensikan oleh instalasi dan entitlement.
- Identitas logis product tetap konsisten.</t>
  </si>
  <si>
    <t>SW-005</t>
  </si>
  <si>
    <t>Status Active/Inactive</t>
  </si>
  <si>
    <t>Memastikan software product inactive tidak salah dipakai untuk transaksi baru.</t>
  </si>
  <si>
    <t>Tersedia software product inactive.</t>
  </si>
  <si>
    <t>1. Tandai product menjadi INACTIVE.
2. Buka create installation atau entitlement.
3. Coba pilih product inactive.</t>
  </si>
  <si>
    <t>- Product inactive dibatasi atau diberi tanda jelas.
- User tidak salah melakukan transaksi baru pada product nonaktif.</t>
  </si>
  <si>
    <t>SW-006</t>
  </si>
  <si>
    <t>Installations</t>
  </si>
  <si>
    <t>Memastikan installation dapat dibuat dengan status INSTALLED/DETECTED/UNINSTALLED pada asset.</t>
  </si>
  <si>
    <t>Asset dan software product aktif tersedia.</t>
  </si>
  <si>
    <t>1. Buka asset detail.
2. Tambahkan software installation.
3. Pilih status instalasi dan isi detail versi/tanggal.
4. Simpan.</t>
  </si>
  <si>
    <t>- Installation tersimpan dengan status yang dipilih.
- Histori instalasi dapat dibaca.
- Product yang dipilih terhubung ke asset yang tepat.</t>
  </si>
  <si>
    <t>SW-007</t>
  </si>
  <si>
    <t>Assignments</t>
  </si>
  <si>
    <t>Memastikan assignment identity ke installation dapat dibuat dan diubah statusnya.</t>
  </si>
  <si>
    <t>Installation software tersedia; identity tersedia.</t>
  </si>
  <si>
    <t>1. Buka installation software di asset detail.
2. Tambah assignment ke identity.
3. Atur role assignment dan status ACTIVE/REVOKED.
4. Simpan.</t>
  </si>
  <si>
    <t>- Assignment tersimpan.
- Identity dan perannya terbaca jelas.
- Status assignment dapat digunakan untuk audit pemakaian.</t>
  </si>
  <si>
    <t>SW-008</t>
  </si>
  <si>
    <t>Entitlements</t>
  </si>
  <si>
    <t>Memastikan entitlement lisensi dapat dibuat dari contract dan product yang sesuai.</t>
  </si>
  <si>
    <t>Contract dan software product aktif tersedia.</t>
  </si>
  <si>
    <t>1. Buka detail contract.
2. Tambah entitlement untuk software product tertentu.
3. Isi metrik lisensi/kuantitas/masa berlaku.
4. Simpan.</t>
  </si>
  <si>
    <t>- Entitlement tersimpan.
- Contract menjadi sumber hak lisensi.
- Product dan masa berlaku entitlement dapat dibaca kembali.</t>
  </si>
  <si>
    <t>SW-009</t>
  </si>
  <si>
    <t>Allocations</t>
  </si>
  <si>
    <t>Memastikan allocation entitlement ke asset/installation/assignment dapat dilakukan.</t>
  </si>
  <si>
    <t>Entitlement tersedia; asset/installation/assignment target tersedia.</t>
  </si>
  <si>
    <t>1. Buka entitlement.
2. Tambahkan allocation ke target yang relevan.
3. Simpan.
4. Tinjau total allocated.</t>
  </si>
  <si>
    <t>- Allocation tersimpan.
- Total alokasi bertambah sesuai jumlah.
- Keterkaitan entitlement ke pemakaian aktual terlihat.</t>
  </si>
  <si>
    <t>SW-010</t>
  </si>
  <si>
    <t>Over Allocation Guard</t>
  </si>
  <si>
    <t>Memastikan alokasi tidak melebihi entitlement yang tersedia bila policy membatasi.</t>
  </si>
  <si>
    <t>Entitlement dengan kuantitas terbatas tersedia.</t>
  </si>
  <si>
    <t>1. Buat allocation sampai mendekati batas.
2. Coba tambahkan allocation melebihi kuantitas hak.
3. Simpan.</t>
  </si>
  <si>
    <t>- Sistem menolak over-allocation atau memberi warning yang jelas.
- Nilai allocated tidak melebihi kapasitas entitlement.</t>
  </si>
  <si>
    <t>SW-011</t>
  </si>
  <si>
    <t>Memastikan AUDITOR dapat membaca instalasi/assignment/entitlement tanpa melakukan write.</t>
  </si>
  <si>
    <t>Data software domain tersedia.</t>
  </si>
  <si>
    <t>1. Login sebagai AUDITOR.
2. Buka asset detail dan contract detail yang memuat data software.
3. Coba tambah/edit data software.</t>
  </si>
  <si>
    <t>- Data software dapat dibaca.
- Aksi write tidak tersedia atau ditolak.
- Kegiatan audit software bisa dilakukan tanpa risiko ubah data.</t>
  </si>
  <si>
    <t>SW-012</t>
  </si>
  <si>
    <t>Memastikan product, installation, assignment, entitlement, dan allocation tetap tenant-scoped.</t>
  </si>
  <si>
    <t>Siapkan dua tenant dengan data software berbeda.</t>
  </si>
  <si>
    <t>1. Login tenant A dan lihat data software.
2. Login tenant B.
3. Coba akses record software tenant A dari tenant B.</t>
  </si>
  <si>
    <t>- Tidak ada data software lintas tenant yang terlihat.
- Semua relation software tetap berada dalam tenant yang sama.</t>
  </si>
  <si>
    <t>ATR-001</t>
  </si>
  <si>
    <t>Asset Transfer Requests</t>
  </si>
  <si>
    <t>List &amp; Filter</t>
  </si>
  <si>
    <t>Memastikan transfer request dapat ditinjau dari list.</t>
  </si>
  <si>
    <t>Terdapat minimal satu transfer request.</t>
  </si>
  <si>
    <t>1. Buka Asset Transfer Requests.
2. Gunakan filter/search yang tersedia.
3. Buka salah satu detail request.</t>
  </si>
  <si>
    <t>- List request tampil sesuai filter.
- Detail request dapat dibuka.
- Status workflow transfer terlihat jelas.</t>
  </si>
  <si>
    <t>https://github.com/MuhamadRamdhani/ITAM/tree/main/apps/web/app</t>
  </si>
  <si>
    <t>ATR-002</t>
  </si>
  <si>
    <t>Create Draft &amp; Submit</t>
  </si>
  <si>
    <t>Memastikan draft transfer request dapat dibuat dan disubmit.</t>
  </si>
  <si>
    <t>Asset sumber tersedia; target tenant valid tersedia.</t>
  </si>
  <si>
    <t>1. Buka create transfer request.
2. Pilih asset sumber dan target tenant.
3. Lengkapi data draft.
4. Simpan draft lalu submit.</t>
  </si>
  <si>
    <t>- Draft tersimpan.
- Status berubah setelah submit.
- Transfer siap diproses oleh pihak yang berwenang.</t>
  </si>
  <si>
    <t>ATR-003</t>
  </si>
  <si>
    <t>Approve / Reject</t>
  </si>
  <si>
    <t>Memastikan transfer request dapat diputuskan.</t>
  </si>
  <si>
    <t>Transfer request submitted tersedia.</t>
  </si>
  <si>
    <t>1. Buka detail transfer request.
2. Pilih approve atau reject.
3. Isi note jika tersedia.
4. Submit keputusan.</t>
  </si>
  <si>
    <t>- Status request berubah sesuai keputusan.
- Log keputusan tercatat.</t>
  </si>
  <si>
    <t>ATR-004</t>
  </si>
  <si>
    <t>Execute / Cancel</t>
  </si>
  <si>
    <t>Memastikan request yang sudah diputuskan dapat dieksekusi atau dibatalkan sesuai aturan.</t>
  </si>
  <si>
    <t>Transfer request pada state yang mengizinkan execute atau cancel tersedia.</t>
  </si>
  <si>
    <t>1. Buka detail transfer request.
2. Klik execute atau cancel sesuai kondisi.
3. Konfirmasi aksi.
4. Periksa perubahan status dan dampaknya ke asset.</t>
  </si>
  <si>
    <t>- Status transfer berubah sesuai aksi.
- Jejak eksekusi/cancel tersimpan.
- Asset mengikuti hasil akhir workflow.</t>
  </si>
  <si>
    <t>ATR-005</t>
  </si>
  <si>
    <t>Preview Validation</t>
  </si>
  <si>
    <t>Memastikan preview transfer memeriksa asset dan target tenant sebelum draft dibuat.</t>
  </si>
  <si>
    <t>Asset valid tersedia; target tenant valid tersedia.</t>
  </si>
  <si>
    <t>1. Buka create transfer request.
2. Pilih asset dan target tenant.
3. Jalankan preview.</t>
  </si>
  <si>
    <t>- Preview menampilkan ringkasan asset dan target tenant.
- User dapat mengecek kelayakan sebelum submit.
- Tidak langsung membuat request final tanpa review.</t>
  </si>
  <si>
    <t>ATR-006</t>
  </si>
  <si>
    <t>Target Tenant Options</t>
  </si>
  <si>
    <t>Memastikan selector target tenant hanya menampilkan tenant yang relevan dan mudah dicari.</t>
  </si>
  <si>
    <t>Ada beberapa tenant target yang tersedia.</t>
  </si>
  <si>
    <t>1. Buka form transfer.
2. Cari target tenant berdasarkan nama/perusahaan.
3. Pilih salah satu hasil.</t>
  </si>
  <si>
    <t>- Selector menampilkan tenant yang relevan.
- User tidak perlu memasukkan ID mentah.
- Risiko salah pilih tenant berkurang.</t>
  </si>
  <si>
    <t>ATR-007</t>
  </si>
  <si>
    <t>Source Asset Guard</t>
  </si>
  <si>
    <t>Memastikan asset yang tidak valid atau tenant lain tidak bisa dipakai membuat transfer request.</t>
  </si>
  <si>
    <t>Siapkan asset invalid atau dari tenant lain.</t>
  </si>
  <si>
    <t>1. Manipulasi request atau URL agar menunjuk asset yang tidak valid/tenant lain.
2. Coba simpan draft transfer.</t>
  </si>
  <si>
    <t>- Draft tidak tersimpan.
- Pesan error validasi asset tampil.
- Tidak ada request lintas tenant yang tidak sah.</t>
  </si>
  <si>
    <t>ATR-008</t>
  </si>
  <si>
    <t>Memastikan hanya role yang berwenang dapat approve/reject transfer request.</t>
  </si>
  <si>
    <t>Transfer request PENDING tersedia.</t>
  </si>
  <si>
    <t>1. Login sebagai role berwenang dan role non-berwenang secara bergantian.
2. Buka detail transfer request.
3. Coba jalankan approve/reject.</t>
  </si>
  <si>
    <t>- Role berwenang dapat mengambil keputusan.
- Role non-berwenang tidak dapat memutuskan request.
- Status request tidak berubah oleh user yang salah.</t>
  </si>
  <si>
    <t>ATR-009</t>
  </si>
  <si>
    <t>Execution Result</t>
  </si>
  <si>
    <t>Memastikan execute memindahkan asset ke tenant target dan menjaga konsistensi data inti.</t>
  </si>
  <si>
    <t>Transfer request sudah disetujui dan siap dieksekusi.</t>
  </si>
  <si>
    <t>1. Buka detail request APPROVED.
2. Jalankan execute.
3. Login ke tenant target dan periksa asset.
4. Cek tenant asal.</t>
  </si>
  <si>
    <t>- Asset muncul di tenant target sesuai aturan.
- Tenant asal tidak lagi memiliki asset aktif yang sama bila desainnya move penuh.
- Audit trail transfer tercatat.</t>
  </si>
  <si>
    <t>ATR-010</t>
  </si>
  <si>
    <t>Cancel Guard</t>
  </si>
  <si>
    <t>Memastikan request final atau sudah dieksekusi tidak bisa dibatalkan sembarangan.</t>
  </si>
  <si>
    <t>TENANT_ADMIN/ITAM_MANAGER/SUPERADMIN</t>
  </si>
  <si>
    <t>Transfer request sudah REJECTED, CANCELED, atau EXECUTED.</t>
  </si>
  <si>
    <t>1. Buka request final.
2. Coba jalankan cancel lagi.
3. Amati respons UI/backend.</t>
  </si>
  <si>
    <t>- Cancel ulang tidak tersedia atau ditolak.
- Status final tetap konsisten.
- Tidak ada kebingungan state pada request transfer.</t>
  </si>
  <si>
    <t>KPI-001</t>
  </si>
  <si>
    <t>KPI Library and Scorecard</t>
  </si>
  <si>
    <t>KPI Library</t>
  </si>
  <si>
    <t>Memastikan KPI baru dapat didefinisikan.</t>
  </si>
  <si>
    <t>ITAM_MANAGER/SUPERADMIN</t>
  </si>
  <si>
    <t>User role KPI valid.</t>
  </si>
  <si>
    <t>1. Buka KPI Library.
2. Klik create KPI.
3. Isi nama KPI, source type, target, threshold, baseline, kategori, dan atribut lain.
4. Simpan.</t>
  </si>
  <si>
    <t>- KPI master tersimpan.
- KPI muncul di library.
- Source type MANUAL atau SYSTEM tersimpan dengan benar.</t>
  </si>
  <si>
    <t>KPI-002</t>
  </si>
  <si>
    <t>Measurement Capture</t>
  </si>
  <si>
    <t>Memastikan measurement KPI dapat dicatat untuk periode tertentu.</t>
  </si>
  <si>
    <t>KPI aktif tersedia.</t>
  </si>
  <si>
    <t>1. Buka KPI Scorecard.
2. Pilih periode (monthly/quarterly/yearly).
3. Input measurement manual atau jalankan snapshot system sesuai jenis KPI.
4. Simpan/capture.</t>
  </si>
  <si>
    <t>- Measurement tercatat untuk periode terpilih.
- Nilai actual tersimpan.
- Scorecard terupdate.</t>
  </si>
  <si>
    <t>KPI-003</t>
  </si>
  <si>
    <t>Scorecard Status</t>
  </si>
  <si>
    <t>Memastikan status KPI dihitung sesuai hasil terhadap target.</t>
  </si>
  <si>
    <t>KPI dengan target dan measurement tersedia.</t>
  </si>
  <si>
    <t>1. Buka KPI Scorecard pada periode yang memiliki measurement.
2. Catat status KPI.
3. Bandingkan dengan target/threshold.</t>
  </si>
  <si>
    <t>- Status tampil konsisten seperti ON_TRACK/WARNING/CRITICAL/NO_TARGET/MISSING.
- Summary scorecard sinkron dengan nilai actual dan target.</t>
  </si>
  <si>
    <t>KPI-004</t>
  </si>
  <si>
    <t>Trend</t>
  </si>
  <si>
    <t>Memastikan trend KPI dapat dibandingkan antar periode.</t>
  </si>
  <si>
    <t>Measurement pada beberapa periode tersedia.</t>
  </si>
  <si>
    <t>1. Buka KPI Scorecard.
2. Pindah antar periode.
3. Amati summary, trend, dan status card.</t>
  </si>
  <si>
    <t>- Perubahan antar periode terlihat.
- Trend mengikuti measurement yang telah tersimpan.</t>
  </si>
  <si>
    <t>KPI-005</t>
  </si>
  <si>
    <t>Memastikan modul KPI hanya dapat diakses role yang sesuai.</t>
  </si>
  <si>
    <t>Role non-KPI</t>
  </si>
  <si>
    <t>Akun non-KPI tersedia.</t>
  </si>
  <si>
    <t>1. Login sebagai role non-KPI.
2. Coba buka /kpis atau /kpi-scorecard.
3. Coba jalankan create KPI.</t>
  </si>
  <si>
    <t>- Akses dibatasi atau tidak ada launcher.
- Tidak ada data KPI yang berubah.</t>
  </si>
  <si>
    <t>KPI-006</t>
  </si>
  <si>
    <t>Threshold &amp; Baseline</t>
  </si>
  <si>
    <t>Memastikan target, threshold, dan baseline KPI dapat disimpan dan dipakai dalam pembacaan scorecard.</t>
  </si>
  <si>
    <t>KPI baru atau KPI existing tersedia.</t>
  </si>
  <si>
    <t>1. Buka KPI detail.
2. Isi target, threshold, baseline, dan satuan.
3. Simpan.
4. Buka kembali scorecard.</t>
  </si>
  <si>
    <t>- Parameter KPI tersimpan.
- Scorecard dapat memakai parameter tersebut sebagai acuan pembacaan status.</t>
  </si>
  <si>
    <t>KPI-007</t>
  </si>
  <si>
    <t>Source Type</t>
  </si>
  <si>
    <t>Memastikan KPI dapat dibedakan antara source manual dan source system.</t>
  </si>
  <si>
    <t>Fitur source type tersedia pada KPI definition.</t>
  </si>
  <si>
    <t>1. Buat dua KPI: manual dan system.
2. Simpan keduanya.
3. Bandingkan field yang tersedia saat capture measurement.</t>
  </si>
  <si>
    <t>- KPI menyimpan source type dengan benar.
- Flow input sesuai tipe sumber datanya.</t>
  </si>
  <si>
    <t>KPI-008</t>
  </si>
  <si>
    <t>Period Uniqueness</t>
  </si>
  <si>
    <t>Memastikan measurement periode yang sama tidak menimbulkan duplikasi tak terkendali.</t>
  </si>
  <si>
    <t>Satu KPI sudah memiliki measurement pada periode tertentu.</t>
  </si>
  <si>
    <t>1. Buka KPI scorecard.
2. Input measurement kedua pada periode yang sama.
3. Simpan.</t>
  </si>
  <si>
    <t>- Sistem menolak duplikasi atau melakukan update dengan aturan yang jelas.
- Tidak ada dua angka ambigu untuk periode yang sama.</t>
  </si>
  <si>
    <t>KPI-009</t>
  </si>
  <si>
    <t>Measurement Edit</t>
  </si>
  <si>
    <t>Memastikan measurement dapat diperbaiki saat terjadi kesalahan input.</t>
  </si>
  <si>
    <t>Measurement KPI sudah ada.</t>
  </si>
  <si>
    <t>1. Buka scorecard KPI.
2. Edit nilai measurement pada satu periode.
3. Simpan perubahan.
4. Tinjau status KPI setelah edit.</t>
  </si>
  <si>
    <t>- Nilai baru tersimpan.
- Status KPI dan trend diperbarui sesuai nilai terbaru.
- Riwayat/perubahan tetap masuk akal untuk audit.</t>
  </si>
  <si>
    <t>KPI-010</t>
  </si>
  <si>
    <t>Read Scorecard</t>
  </si>
  <si>
    <t>Memastikan role baca dapat membuka scorecard tanpa mengubah measurement.</t>
  </si>
  <si>
    <t>KPI dan measurements tersedia.</t>
  </si>
  <si>
    <t>1. Login sebagai AUDITOR.
2. Buka KPI module dan scorecard.
3. Coba input/edit nilai measurement.</t>
  </si>
  <si>
    <t>- Scorecard dapat dibaca.
- Aksi input/edit tidak tersedia atau ditolak.
- Auditor tetap bisa meninjau performa tanpa mengubah data.</t>
  </si>
  <si>
    <t>KPI-011</t>
  </si>
  <si>
    <t>Trend Comparison</t>
  </si>
  <si>
    <t>Memastikan trend naik/turun/stabil terbaca konsisten berdasarkan data antar periode.</t>
  </si>
  <si>
    <t>TENANT_ADMIN/ITAM_MANAGER/AUDITOR</t>
  </si>
  <si>
    <t>Minimal tiga measurement lintas periode tersedia.</t>
  </si>
  <si>
    <t>1. Buka scorecard KPI.
2. Bandingkan nilai periode berjalan dan periode sebelumnya.
3. Periksa indikator trend.</t>
  </si>
  <si>
    <t>- Indikator trend sesuai arah perubahan nilai.
- Pembaca bisa memahami apakah performa membaik atau menurun.</t>
  </si>
  <si>
    <t>KPI-012</t>
  </si>
  <si>
    <t>Memastikan KPI library dan scorecard tetap tenant-scoped.</t>
  </si>
  <si>
    <t>Siapkan KPI berbeda pada dua tenant.</t>
  </si>
  <si>
    <t>1. Login tenant A dan lihat library/scorecard.
2. Login tenant B.
3. Coba akses KPI tenant A dari tenant B.</t>
  </si>
  <si>
    <t>- KPI dan measurement tenant lain tidak terlihat.
- Nilai performa tidak bocor lintas tenant.</t>
  </si>
  <si>
    <t>IA-001</t>
  </si>
  <si>
    <t>Internal Audits</t>
  </si>
  <si>
    <t>Create Audit</t>
  </si>
  <si>
    <t>Memastikan audit internal baru dapat dibuat.</t>
  </si>
  <si>
    <t>Role audit valid tersedia.</t>
  </si>
  <si>
    <t>1. Buka Internal Audits.
2. Klik create audit.
3. Isi data audit pokok.
4. Simpan.</t>
  </si>
  <si>
    <t>- Audit baru tersimpan.
- Audit muncul di list.
- Status awal audit sesuai workflow awal.</t>
  </si>
  <si>
    <t>IA-002</t>
  </si>
  <si>
    <t>Members</t>
  </si>
  <si>
    <t>Memastikan anggota audit dapat ditambah atau dihapus.</t>
  </si>
  <si>
    <t>Audit record tersedia; identities tersedia.</t>
  </si>
  <si>
    <t>1. Buka detail audit.
2. Masuk section members.
3. Tambah anggota audit.
4. Hapus salah satu anggota bila perlu.
5. Simpan.</t>
  </si>
  <si>
    <t>- Roster member terupdate.
- Counter/daftar anggota refresh.
- Tidak ada duplicate member yang tidak valid.</t>
  </si>
  <si>
    <t>IA-003</t>
  </si>
  <si>
    <t>Checklist</t>
  </si>
  <si>
    <t>Memastikan checklist audit dapat dibuat dan hasilnya direkam.</t>
  </si>
  <si>
    <t>Audit record tersedia.</t>
  </si>
  <si>
    <t>1. Buka detail audit.
2. Tambah checklist section/item.
3. Record hasil checklist.
4. Simpan.</t>
  </si>
  <si>
    <t>- Checklist tersimpan.
- Hasil checklist dapat dibaca ulang.
- Progress audit terupdate.</t>
  </si>
  <si>
    <t>IA-004</t>
  </si>
  <si>
    <t>Findings</t>
  </si>
  <si>
    <t>Memastikan finding audit dapat dibuat dan ditutup.</t>
  </si>
  <si>
    <t>1. Buka detail audit.
2. Masuk area findings.
3. Buat finding baru dengan deskripsi dan severity bila ada.
4. Tutup atau resolve finding sesuai state yang tersedia.</t>
  </si>
  <si>
    <t>- Finding baru tercatat.
- Status finding berubah saat ditutup.
- Daftar finding terupdate.</t>
  </si>
  <si>
    <t>IA-005</t>
  </si>
  <si>
    <t>Start/Complete/Cancel</t>
  </si>
  <si>
    <t>Memastikan lifecycle audit dapat dijalankan sesuai fase.</t>
  </si>
  <si>
    <t>Audit berada pada state yang mengizinkan start/complete/cancel.</t>
  </si>
  <si>
    <t>1. Buka detail audit.
2. Jalankan action start.
3. Setelah aktivitas berjalan, jalankan complete atau cancel pada audit lain.
4. Periksa status akhir.</t>
  </si>
  <si>
    <t>- Status audit berubah sesuai aksi.
- Log perubahan state tercatat.
- Audit yang complete/cancel tidak bisa diperlakukan sebagai draft aktif lagi.</t>
  </si>
  <si>
    <t>IA-006</t>
  </si>
  <si>
    <t>Audit Detail</t>
  </si>
  <si>
    <t>Memastikan detail audit memuat auditee, scope, jadwal, status, dan metadata inti lainnya.</t>
  </si>
  <si>
    <t>Audit sudah dibuat.</t>
  </si>
  <si>
    <t>1. Buka list internal audits.
2. Buka salah satu audit.
3. Tinjau informasi detail.</t>
  </si>
  <si>
    <t>- Header/detail audit lengkap dan mudah dipahami.
- User dapat melihat auditee, scope, jadwal, dan status audit.</t>
  </si>
  <si>
    <t>IA-007</t>
  </si>
  <si>
    <t>Checklist Result Validation</t>
  </si>
  <si>
    <t>Memastikan hasil checklist tidak dapat direkam untuk item/section yang tidak valid.</t>
  </si>
  <si>
    <t>Audit aktif tersedia.</t>
  </si>
  <si>
    <t>1. Coba rekam hasil checklist dengan item yang tidak sesuai atau data tidak lengkap.
2. Simpan hasil.</t>
  </si>
  <si>
    <t>- Sistem menolak input yang tidak valid.
- Tidak ada hasil checklist rusak yang tersimpan.</t>
  </si>
  <si>
    <t>IA-008</t>
  </si>
  <si>
    <t>Finding Lifecycle</t>
  </si>
  <si>
    <t>Memastikan finding dapat berubah dari open ke closed dengan evidensi/penjelasan yang memadai.</t>
  </si>
  <si>
    <t>Finding audit sudah dibuat dalam status open.</t>
  </si>
  <si>
    <t>1. Buka finding audit.
2. Isi tindakan/penjelasan penutupan.
3. Jalankan close finding.
4. Buka ulang detail finding.</t>
  </si>
  <si>
    <t>- Status finding berubah ke closed.
- Catatan penutupan dapat dibaca ulang.
- Audit trail finding tetap utuh.</t>
  </si>
  <si>
    <t>IA-009</t>
  </si>
  <si>
    <t>Start Guard</t>
  </si>
  <si>
    <t>Memastikan audit tidak dapat di-start tanpa data minimum yang diwajibkan.</t>
  </si>
  <si>
    <t>Audit draft tersedia tetapi data minimum belum lengkap.</t>
  </si>
  <si>
    <t>1. Buka audit draft.
2. Coba jalankan start.
3. Amati respons sistem.</t>
  </si>
  <si>
    <t>- Start ditolak atau user diminta melengkapi data minimum.
- Audit tidak berpindah ke fase aktif secara tidak valid.</t>
  </si>
  <si>
    <t>IA-010</t>
  </si>
  <si>
    <t>Complete Guard</t>
  </si>
  <si>
    <t>Memastikan audit tidak dapat di-complete bila masih ada checklist/finding yang belum selesai sesuai aturan.</t>
  </si>
  <si>
    <t>Audit aktif memiliki item atau finding yang masih terbuka.</t>
  </si>
  <si>
    <t>1. Buka audit aktif.
2. Coba complete audit sebelum seluruh pekerjaan selesai.
3. Amati hasil.</t>
  </si>
  <si>
    <t>- Complete ditolak bila prasyarat belum terpenuhi.
- User diarahkan untuk menyelesaikan checklist/finding yang tersisa.</t>
  </si>
  <si>
    <t>IA-011</t>
  </si>
  <si>
    <t>Memastikan AUDITOR dapat membaca audit, checklist, dan findings tanpa write action.</t>
  </si>
  <si>
    <t>Data audit tersedia.</t>
  </si>
  <si>
    <t>1. Login sebagai AUDITOR.
2. Buka audit detail, checklist, dan findings.
3. Coba tambah/edit/close data.</t>
  </si>
  <si>
    <t>- Semua data dapat dibaca untuk kebutuhan audit.
- Aksi write tidak tersedia atau ditolak.</t>
  </si>
  <si>
    <t>IA-012</t>
  </si>
  <si>
    <t>Memastikan data audit internal tidak terlihat lintas tenant.</t>
  </si>
  <si>
    <t>Dua tenant memiliki audit masing-masing.</t>
  </si>
  <si>
    <t>1. Login tenant A.
2. Catat audit yang tersedia.
3. Login tenant B dan coba akses audit tenant A.</t>
  </si>
  <si>
    <t>- Audit internal tetap tenant-scoped.
- Detail, checklist, dan finding tenant lain tidak bisa dibuka.</t>
  </si>
  <si>
    <t>MR-001</t>
  </si>
  <si>
    <t>Management Reviews</t>
  </si>
  <si>
    <t>Create Review Session</t>
  </si>
  <si>
    <t>Memastikan sesi management review dapat dibuat.</t>
  </si>
  <si>
    <t>Role review valid tersedia.</t>
  </si>
  <si>
    <t>1. Buka Management Reviews.
2. Klik create.
3. Isi data sesi review.
4. Simpan.</t>
  </si>
  <si>
    <t>- Sesi review tersimpan.
- Muncul di list.
- Detail review dapat dibuka.</t>
  </si>
  <si>
    <t>MR-002</t>
  </si>
  <si>
    <t>Overview Update</t>
  </si>
  <si>
    <t>Memastikan overview review dapat diperbarui.</t>
  </si>
  <si>
    <t>Review session tersedia.</t>
  </si>
  <si>
    <t>1. Buka detail review.
2. Edit overview atau summary session.
3. Simpan.</t>
  </si>
  <si>
    <t>- Overview berhasil diperbarui.
- Perubahan tampil setelah refresh.</t>
  </si>
  <si>
    <t>MR-003</t>
  </si>
  <si>
    <t>Decisions</t>
  </si>
  <si>
    <t>Memastikan keputusan management review dapat dicatat.</t>
  </si>
  <si>
    <t>1. Buka detail review.
2. Masuk area decisions.
3. Tambah keputusan review.
4. Simpan.</t>
  </si>
  <si>
    <t>- Decision tersimpan.
- Daftar keputusan terupdate.</t>
  </si>
  <si>
    <t>MR-004</t>
  </si>
  <si>
    <t>Action Items &amp; Tracker</t>
  </si>
  <si>
    <t>Memastikan action item dapat dibuat dan dipantau.</t>
  </si>
  <si>
    <t>1. Buka detail review.
2. Buat action item baru.
3. Ubah progres atau status tracker.
4. Simpan.</t>
  </si>
  <si>
    <t>- Action item tersimpan.
- Tracker menampilkan progres terkini.
- Tindak lanjut dapat dipantau lintas waktu.</t>
  </si>
  <si>
    <t>MR-005</t>
  </si>
  <si>
    <t>Complete / Cancel</t>
  </si>
  <si>
    <t>Memastikan sesi review dapat diselesaikan atau dibatalkan.</t>
  </si>
  <si>
    <t>Review session berada pada state yang mengizinkan complete/cancel.</t>
  </si>
  <si>
    <t>1. Buka detail review.
2. Klik complete atau cancel.
3. Konfirmasi aksi.
4. Refresh detail.</t>
  </si>
  <si>
    <t>- Status review berubah sesuai aksi.
- Jejak keputusan lifecycle review tercatat.</t>
  </si>
  <si>
    <t>MR-006</t>
  </si>
  <si>
    <t>Review Detail</t>
  </si>
  <si>
    <t>Memastikan detail management review memuat periode, owner, status, overview, dan metadata inti.</t>
  </si>
  <si>
    <t>Sesi management review tersedia.</t>
  </si>
  <si>
    <t>1. Buka modul Management Reviews.
2. Buka satu sesi review.
3. Periksa informasi detail session.</t>
  </si>
  <si>
    <t>- Detail review lengkap dan mudah dipahami.
- Overview dan metadata inti terbaca jelas.</t>
  </si>
  <si>
    <t>MR-007</t>
  </si>
  <si>
    <t>Action Item Detail</t>
  </si>
  <si>
    <t>Memastikan action item menyimpan owner, due date, status, dan progress tracker.</t>
  </si>
  <si>
    <t>Sesi review sudah ada.</t>
  </si>
  <si>
    <t>1. Buka detail review.
2. Tambah action item.
3. Isi owner, due date, status, dan notes/progress.
4. Simpan.</t>
  </si>
  <si>
    <t>- Action item tersimpan.
- Tracker dapat dipakai memonitor tindak lanjut hasil review.</t>
  </si>
  <si>
    <t>MR-008</t>
  </si>
  <si>
    <t>Decision Validation</t>
  </si>
  <si>
    <t>Memastikan keputusan management review tidak dapat disimpan dengan data minimum yang kosong.</t>
  </si>
  <si>
    <t>Sesi review aktif tersedia.</t>
  </si>
  <si>
    <t>1. Buka detail review.
2. Tambah decision tetapi kosongkan field penting.
3. Simpan.</t>
  </si>
  <si>
    <t>- Sistem menolak input tidak lengkap.
- Tidak ada decision kosong yang tersimpan.</t>
  </si>
  <si>
    <t>MR-009</t>
  </si>
  <si>
    <t>Tracker Update</t>
  </si>
  <si>
    <t>Memastikan progress action item dapat diupdate bertahap sampai closed.</t>
  </si>
  <si>
    <t>Action item review sudah ada.</t>
  </si>
  <si>
    <t>1. Buka action tracker.
2. Ubah status/progress action item.
3. Simpan beberapa kali sesuai tahapan.
4. Tutup item bila selesai.</t>
  </si>
  <si>
    <t>- Perubahan progress tersimpan.
- Action item dapat bergerak sampai closed/done.
- Riwayat progress dapat ditinjau ulang.</t>
  </si>
  <si>
    <t>MR-010</t>
  </si>
  <si>
    <t>Memastikan review tidak dapat di-complete bila action penting belum didokumentasikan sesuai aturan.</t>
  </si>
  <si>
    <t>Sesi review aktif tanpa decisions/action items yang memadai.</t>
  </si>
  <si>
    <t>1. Buka review aktif.
2. Coba complete lebih awal.
3. Amati hasil.</t>
  </si>
  <si>
    <t>- Complete ditolak atau user diminta melengkapi data penting.
- Review tidak selesai secara prematur.</t>
  </si>
  <si>
    <t>MR-011</t>
  </si>
  <si>
    <t>Memastikan AUDITOR dapat membaca hasil management review dan tracker tanpa edit.</t>
  </si>
  <si>
    <t>Sesi review tersedia.</t>
  </si>
  <si>
    <t>1. Login sebagai AUDITOR.
2. Buka list dan detail review.
3. Coba ubah overview/decision/action item.</t>
  </si>
  <si>
    <t>- Review dapat dibaca untuk kebutuhan assurance.
- Aksi write tidak tersedia atau ditolak.</t>
  </si>
  <si>
    <t>MR-012</t>
  </si>
  <si>
    <t>Memastikan sesi management review tidak terlihat lintas tenant.</t>
  </si>
  <si>
    <t>Dua tenant memiliki sesi review masing-masing.</t>
  </si>
  <si>
    <t>1. Login tenant A dan catat sesi review.
2. Login tenant B.
3. Coba akses detail review tenant A.</t>
  </si>
  <si>
    <t>- Sesi review tenant lain tidak dapat dilihat.
- Decisions dan action items tenant lain tetap aman.</t>
  </si>
  <si>
    <t>REP-001</t>
  </si>
  <si>
    <t>Reports</t>
  </si>
  <si>
    <t>Asset Coverage List</t>
  </si>
  <si>
    <t>Memastikan report asset coverage dapat difilter dan dibaca.</t>
  </si>
  <si>
    <t>TENANT_ADMIN/ITAM_MANAGER/PROCUREMENT_CONTRACT_MANAGER/AUDITOR</t>
  </si>
  <si>
    <t>Data coverage aset tersedia.</t>
  </si>
  <si>
    <t>1. Buka report asset coverage.
2. Gunakan filter tipe, vendor, contract, dan filter lain yang tersedia.
3. Amati summary dan list hasil.</t>
  </si>
  <si>
    <t>- List dan summary report sinkron.
- Data report bersifat read-only.
- Filter bekerja sesuai pilihan.</t>
  </si>
  <si>
    <t>REP-002</t>
  </si>
  <si>
    <t>Asset Mapping</t>
  </si>
  <si>
    <t>Memastikan report asset mapping dapat dibaca sebagai referensi audit.</t>
  </si>
  <si>
    <t>Data asset mapping tersedia.</t>
  </si>
  <si>
    <t>1. Buka report asset mapping.
2. Gunakan filter yang tersedia.
3. Baca summary dan list hasil.</t>
  </si>
  <si>
    <t>- Summary mapping tampil.
- List mapping dapat dijadikan dasar analisis dan audit.</t>
  </si>
  <si>
    <t>REP-003</t>
  </si>
  <si>
    <t>Excel Export</t>
  </si>
  <si>
    <t>Memastikan report dapat diexport ke Excel.</t>
  </si>
  <si>
    <t>Role read report</t>
  </si>
  <si>
    <t>Data report tersedia.</t>
  </si>
  <si>
    <t>1. Buka salah satu report.
2. Atur filter tertentu.
3. Klik export Excel.
4. Buka file hasil export.</t>
  </si>
  <si>
    <t>- File Excel berhasil diunduh.
- Isi file mengikuti filter yang diterapkan.
- Kolom inti report tersedia.</t>
  </si>
  <si>
    <t>REP-004</t>
  </si>
  <si>
    <t>Read-Only</t>
  </si>
  <si>
    <t>Memastikan report tidak menyediakan aksi perubahan data.</t>
  </si>
  <si>
    <t>User dapat membuka report.</t>
  </si>
  <si>
    <t>1. Buka halaman report.
2. Periksa apakah ada tombol create/update/delete.
3. Coba mengubah data bila ada input mencurigakan.</t>
  </si>
  <si>
    <t>- Tidak ada aksi write.
- Report tetap hanya untuk analisis/monitoring.</t>
  </si>
  <si>
    <t>REP-005</t>
  </si>
  <si>
    <t>Coverage Summary</t>
  </si>
  <si>
    <t>Memastikan summary coverage menampilkan jumlah ACTIVE/EXPIRING/EXPIRED/NO_COVERAGE secara konsisten.</t>
  </si>
  <si>
    <t>Data asset dengan coverage beragam tersedia.</t>
  </si>
  <si>
    <t>1. Buka report Asset Coverage.
2. Tinjau summary di atas report.
3. Cocokkan dengan data list.</t>
  </si>
  <si>
    <t>- Summary selaras dengan hasil list.
- Pengguna dapat segera melihat area risiko coverage.</t>
  </si>
  <si>
    <t>REP-006</t>
  </si>
  <si>
    <t>Coverage Filters</t>
  </si>
  <si>
    <t>Memastikan filter coverage kind, health, dan expiring_in_days bekerja bersama.</t>
  </si>
  <si>
    <t>Data report coverage tersedia.</t>
  </si>
  <si>
    <t>1. Buka Asset Coverage.
2. Kombinasikan filter coverage kind, health, dan expiring_in_days.
3. Terapkan filter dan bandingkan hasil.</t>
  </si>
  <si>
    <t>- Hasil report sesuai kombinasi filter.
- Asset yang tidak memenuhi filter tidak ikut tampil.</t>
  </si>
  <si>
    <t>REP-007</t>
  </si>
  <si>
    <t>Mapping Drill Through</t>
  </si>
  <si>
    <t>Memastikan asset mapping dapat dipakai untuk drill-through ke asset/detail referensi.</t>
  </si>
  <si>
    <t>1. Buka Asset Mapping.
2. Pilih satu baris asset.
3. Gunakan link/view detail bila tersedia.</t>
  </si>
  <si>
    <t>- Mapping report dapat mengarahkan user ke objek referensi yang tepat.
- Report berguna sebagai pintu audit, bukan hanya tabel statis.</t>
  </si>
  <si>
    <t>REP-008</t>
  </si>
  <si>
    <t>Export Integrity</t>
  </si>
  <si>
    <t>Memastikan file Excel hasil export memuat filter/metainfo dan data yang sesuai dengan tampilan.</t>
  </si>
  <si>
    <t>Report sudah difilter pada kondisi tertentu.</t>
  </si>
  <si>
    <t>1. Terapkan filter pada report.
2. Jalankan export Excel.
3. Buka file hasil export dan bandingkan dengan tampilan report.</t>
  </si>
  <si>
    <t>- File export memuat data yang sama dengan hasil filter.
- Meta/report name/generated at/filters ikut tercatat bila desainnya tersedia.</t>
  </si>
  <si>
    <t>REP-009</t>
  </si>
  <si>
    <t>Memastikan report hanya menghitung data tenant aktif.</t>
  </si>
  <si>
    <t>Dua tenant memiliki data asset berbeda.</t>
  </si>
  <si>
    <t>1. Login tenant A dan buka report.
2. Catat angka summary.
3. Login tenant B dan bandingkan.</t>
  </si>
  <si>
    <t>- Angka report hanya berasal dari tenant aktif.
- Tidak ada aset tenant lain masuk ke coverage atau mapping report.</t>
  </si>
  <si>
    <t>ADM-001</t>
  </si>
  <si>
    <t>Admin &amp; Platform</t>
  </si>
  <si>
    <t>Admin Master Data</t>
  </si>
  <si>
    <t>Admin Users - Create</t>
  </si>
  <si>
    <t>Memastikan user tenant dapat dibuat oleh role yang sesuai.</t>
  </si>
  <si>
    <t>SUPERADMIN/TENANT_ADMIN</t>
  </si>
  <si>
    <t>Role admin valid tersedia.</t>
  </si>
  <si>
    <t>1. Buka Admin Users.
2. Jika SUPERADMIN, pilih target tenant.
3. Klik create user.
4. Isi status dan role, lalu simpan.</t>
  </si>
  <si>
    <t>- User baru tersimpan.
- User tampil di list tenant target.
- Role assigned sesuai pilihan.</t>
  </si>
  <si>
    <t>ADM-002</t>
  </si>
  <si>
    <t>Admin Users - Enable/Disable</t>
  </si>
  <si>
    <t>Memastikan status user dapat diubah.</t>
  </si>
  <si>
    <t>User tenant tersedia.</t>
  </si>
  <si>
    <t>1. Buka detail atau action user.
2. Ubah status ACTIVE ke DISABLED atau sebaliknya.
3. Simpan.</t>
  </si>
  <si>
    <t>- Status user berubah.
- Perubahan terlihat pada list dan detail user.</t>
  </si>
  <si>
    <t>ADM-003</t>
  </si>
  <si>
    <t>Reserved Role Guard</t>
  </si>
  <si>
    <t>Memastikan role SUPERADMIN hanya dapat dikelola oleh SUPERADMIN.</t>
  </si>
  <si>
    <t>Login sebagai TENANT_ADMIN.</t>
  </si>
  <si>
    <t>1. Buka Admin Users.
2. Coba assign/remove role SUPERADMIN.
3. Simpan perubahan.</t>
  </si>
  <si>
    <t>- Aksi ditolak atau opsi role SUPERADMIN tidak tersedia.
- Tidak ada perubahan reserved role oleh non-superadmin.</t>
  </si>
  <si>
    <t>ADM-004</t>
  </si>
  <si>
    <t>Departments</t>
  </si>
  <si>
    <t>Memastikan master department dapat dibuat/diedit.</t>
  </si>
  <si>
    <t>1. Buka Admin Departments.
2. Buat department baru atau edit label/display name yang ada.
3. Simpan.</t>
  </si>
  <si>
    <t>- Department tersimpan.
- Perubahan tampil di list.
- Lookup downstream dapat menggunakan department baru.</t>
  </si>
  <si>
    <t>ADM-005</t>
  </si>
  <si>
    <t>Locations &amp; Identities</t>
  </si>
  <si>
    <t>Memastikan master location dan identity dapat dipelihara.</t>
  </si>
  <si>
    <t>1. Buka Admin Locations dan Admin Identities.
2. Buat atau edit satu record pada masing-masing modul.
3. Simpan.</t>
  </si>
  <si>
    <t>- Location dan identity tersimpan.
- Lookup ownership/software/governance memuat data baru.</t>
  </si>
  <si>
    <t>ADM-006</t>
  </si>
  <si>
    <t>Asset Types &amp; Lifecycle States</t>
  </si>
  <si>
    <t>Memastikan hanya label/display name yang diedit, bukan code logic.</t>
  </si>
  <si>
    <t>1. Buka Admin Asset Types dan Admin Lifecycle States.
2. Edit display name salah satu item.
3. Simpan.
4. Coba pastikan code logic tetap sama.</t>
  </si>
  <si>
    <t>- Display name berubah.
- Code logic tetap stabil.
- Workflow downstream tidak rusak.</t>
  </si>
  <si>
    <t>ADM-007</t>
  </si>
  <si>
    <t>Admin Users - Edit Role</t>
  </si>
  <si>
    <t>Memastikan role user tenant dapat diubah oleh admin yang berwenang.</t>
  </si>
  <si>
    <t>User tenant sudah ada.</t>
  </si>
  <si>
    <t>1. Buka Admin Users.
2. Pilih user target.
3. Ubah role atau daftar role.
4. Simpan.</t>
  </si>
  <si>
    <t>- Perubahan role tersimpan.
- Hak akses user mengikuti role terbarunya pada login berikutnya atau setelah refresh yang sesuai.</t>
  </si>
  <si>
    <t>ADM-008</t>
  </si>
  <si>
    <t>Admin Users - Tenant Scope</t>
  </si>
  <si>
    <t>Memastikan tenant admin hanya mengelola user di tenant sendiri.</t>
  </si>
  <si>
    <t>Ada user di tenant lain.</t>
  </si>
  <si>
    <t>1. Login sebagai TENANT_ADMIN tenant A.
2. Buka Admin Users.
3. Coba cari atau akses user tenant B.</t>
  </si>
  <si>
    <t>- Hanya user tenant sendiri yang dapat dikelola.
- User tenant lain tidak tampil atau ditolak saat diakses langsung.</t>
  </si>
  <si>
    <t>ADM-009</t>
  </si>
  <si>
    <t>Identities</t>
  </si>
  <si>
    <t>Memastikan identity master dapat dibuat/diedit dan dipakai di ownership atau assignment.</t>
  </si>
  <si>
    <t>Modul admin master data terbuka.</t>
  </si>
  <si>
    <t>1. Buka master Identities.
2. Tambah identity baru.
3. Simpan.
4. Buka modul lain yang memakai selector identity.</t>
  </si>
  <si>
    <t>- Identity tersimpan.
- Identity dapat dipilih di ownership, software assignment, stakeholder owner, dan area terkait.</t>
  </si>
  <si>
    <t>ADM-010</t>
  </si>
  <si>
    <t>Lifecycle States</t>
  </si>
  <si>
    <t>Memastikan display_name lifecycle state dapat diubah tanpa mengubah code logika.</t>
  </si>
  <si>
    <t>Lifecycle state tenant tersedia.</t>
  </si>
  <si>
    <t>1. Buka Lifecycle States.
2. Edit display name salah satu state.
3. Simpan.
4. Buka modul Assets.</t>
  </si>
  <si>
    <t>- Label yang tampil berubah sesuai display name baru.
- Code logic tetap sama dan workflow tidak rusak.</t>
  </si>
  <si>
    <t>ADM-011</t>
  </si>
  <si>
    <t>Asset Types</t>
  </si>
  <si>
    <t>Memastikan asset type aktif dapat dipakai di form create asset setelah pemeliharaan master.</t>
  </si>
  <si>
    <t>Asset type tenant tersedia.</t>
  </si>
  <si>
    <t>1. Buka Asset Types.
2. Tambah/aktifkan asset type sesuai aturan tenant.
3. Buka form New Asset.
4. Cek dropdown asset type.</t>
  </si>
  <si>
    <t>- Asset type baru/aktif muncul di form create asset.
- Perubahan master berdampak ke modul operasional secara konsisten.</t>
  </si>
  <si>
    <t>ADM-012</t>
  </si>
  <si>
    <t>Department &amp; Location Reuse</t>
  </si>
  <si>
    <t>Memastikan department dan location master dapat dipakai ulang di ownership panel.</t>
  </si>
  <si>
    <t>Department dan location baru dibuat.</t>
  </si>
  <si>
    <t>1. Tambah department dan location di admin.
2. Buka asset detail.
3. Coba pilih master baru di ownership panel.</t>
  </si>
  <si>
    <t>- Master baru tersedia di selector ownership.
- Integrasi antar modul berjalan tanpa perlu input manual ulang.</t>
  </si>
  <si>
    <t>SAT-001</t>
  </si>
  <si>
    <t>Superadmin Tenants</t>
  </si>
  <si>
    <t>Tenant List/Search/Sort</t>
  </si>
  <si>
    <t>Memastikan tenant platform dapat dicari dan diurutkan.</t>
  </si>
  <si>
    <t>SUPERADMIN</t>
  </si>
  <si>
    <t>Beberapa tenant tersedia.</t>
  </si>
  <si>
    <t>1. Buka Superadmin Tenants.
2. Gunakan filter status_code dan contract_health.
3. Ubah sort_by dan sort_dir.
4. Amati list hasil.</t>
  </si>
  <si>
    <t>- List tenant mengikuti filter dan sorting.
- Kontrak health terlihat pada tenant summary.</t>
  </si>
  <si>
    <t>SAT-002</t>
  </si>
  <si>
    <t>Create Tenant</t>
  </si>
  <si>
    <t>Memastikan tenant baru dapat dibuat dengan plan dan contract dates.</t>
  </si>
  <si>
    <t>Akun SUPERADMIN tersedia.</t>
  </si>
  <si>
    <t>1. Buka Superadmin Tenants.
2. Klik create tenant.
3. Isi code, name, status_code, plan_code, contract_start_date, contract_end_date, dan subscription_notes.
4. Simpan.</t>
  </si>
  <si>
    <t>- Tenant baru tersimpan.
- Tenant muncul di list.
- Kontrak health dapat dihitung dari tanggal kontrak.</t>
  </si>
  <si>
    <t>SAT-003</t>
  </si>
  <si>
    <t>Role Restriction</t>
  </si>
  <si>
    <t>Memastikan non-superadmin tidak dapat membuka halaman tenant platform.</t>
  </si>
  <si>
    <t>Akun non-superadmin tersedia.</t>
  </si>
  <si>
    <t>1. Login sebagai non-superadmin.
2. Coba akses /superadmin/tenants.
3. Coba lakukan create tenant.</t>
  </si>
  <si>
    <t>- Akses diblokir atau tidak ada launcher.
- Tidak ada perubahan data tenant platform.</t>
  </si>
  <si>
    <t>SAT-004</t>
  </si>
  <si>
    <t>Contract Health Impact</t>
  </si>
  <si>
    <t>Memastikan tanggal kontrak tenant berdampak ke health dan login.</t>
  </si>
  <si>
    <t>Tenant dengan contract dates dapat dibuat/diubah.</t>
  </si>
  <si>
    <t>1. Buat atau edit tenant dengan contract_end_date dekat atau lampau.
2. Lihat health pada list/detail tenant.
3. Coba login dengan user tenant tersebut bila memungkinkan.</t>
  </si>
  <si>
    <t>- Health tenant berubah sesuai tanggal.
- Tenant expired/invalid berdampak ke auth/login sesuai aturan.</t>
  </si>
  <si>
    <t>SAT-005</t>
  </si>
  <si>
    <t>Tenant Detail</t>
  </si>
  <si>
    <t>Memastikan detail tenant menampilkan status, kontrak, dan ringkasan kesehatan langganan.</t>
  </si>
  <si>
    <t>Minimal ada tenant yang sudah dibuat.</t>
  </si>
  <si>
    <t>1. Buka Superadmin Tenants.
2. Pilih satu tenant.
3. Tinjau detail tenant dan ringkasan kontrak.</t>
  </si>
  <si>
    <t>- Detail tenant lengkap.
- Health subscription mudah dibaca.
- SUPERADMIN dapat memantau tenant tanpa login sebagai tenant tersebut.</t>
  </si>
  <si>
    <t>SAT-006</t>
  </si>
  <si>
    <t>Edit Contract Dates</t>
  </si>
  <si>
    <t>Memastikan perubahan tanggal kontrak tenant mengubah health yang ditampilkan.</t>
  </si>
  <si>
    <t>Tenant dengan contract dates tersedia.</t>
  </si>
  <si>
    <t>1. Buka detail tenant.
2. Ubah contract_start_date atau contract_end_date.
3. Simpan.
4. Periksa health tenant.</t>
  </si>
  <si>
    <t>- Health tenant diperbarui sesuai tanggal kontrak terbaru.
- Banner/ringkasan tenant menyesuaikan kondisi baru.</t>
  </si>
  <si>
    <t>SAT-007</t>
  </si>
  <si>
    <t>Superadmin User Management</t>
  </si>
  <si>
    <t>Memastikan SUPERADMIN dapat mengelola admin users tenant melalui tenant selector atau konteks tenant.</t>
  </si>
  <si>
    <t>Tenant dan user tenant tersedia.</t>
  </si>
  <si>
    <t>1. Buka area admin user versi superadmin.
2. Pilih tenant target.
3. Tambah/edit user tenant tersebut.
4. Simpan.</t>
  </si>
  <si>
    <t>- SUPERADMIN dapat mengelola user lintas tenant dari tenant yang dipilih.
- Perubahan hanya berlaku pada tenant target yang aktif dipilih.</t>
  </si>
  <si>
    <t>SAT-008</t>
  </si>
  <si>
    <t>Create Tenant Seed</t>
  </si>
  <si>
    <t>Memastikan tenant baru mendapatkan baseline data seed platform yang diperlukan.</t>
  </si>
  <si>
    <t>Hak create tenant tersedia.</t>
  </si>
  <si>
    <t>1. Buat tenant baru.
2. Login ke tenant tersebut bila memungkinkan.
3. Buka modul admin/config dasar.</t>
  </si>
  <si>
    <t>- Tenant baru memiliki baseline roles, setting UI, asset types, dan lifecycle states/transition sesuai template platform.
- Tenant siap dipakai tanpa setup manual berlebihan.</t>
  </si>
  <si>
    <t>SAT-009</t>
  </si>
  <si>
    <t>Login Enforcement</t>
  </si>
  <si>
    <t>Memastikan tenant user biasa diblokir login saat kontrak expired/no contract/suspended, tetapi superadmin tetap bisa memantau tenant.</t>
  </si>
  <si>
    <t>SUPERADMIN/Public/Tenant user</t>
  </si>
  <si>
    <t>Siapkan tenant dengan beberapa kondisi kontrak.</t>
  </si>
  <si>
    <t>1. Coba login sebagai user tenant bermasalah.
2. Catat hasil blokir.
3. Login sebagai SUPERADMIN dan buka detail tenant tersebut.</t>
  </si>
  <si>
    <t>- User tenant diblokir sesuai health/contract state.
- SUPERADMIN tetap dapat memantau dan memperbaiki data tenant.</t>
  </si>
  <si>
    <t>SAT-010</t>
  </si>
  <si>
    <t>Platform Isolation</t>
  </si>
  <si>
    <t>Memastikan halaman platform tenant tidak dapat diakses dari konteks tenant admin biasa.</t>
  </si>
  <si>
    <t>Login sebagai non-superadmin.</t>
  </si>
  <si>
    <t>1. Coba buka route Superadmin Tenants secara langsung.
2. Coba akses detail tenant platform.</t>
  </si>
  <si>
    <t>- Akses ditolak untuk non-superadmin.
- Halaman platform tetap eksklusif untuk SUPERADMIN.</t>
  </si>
  <si>
    <t>CAPA-001</t>
  </si>
  <si>
    <t>CAPA</t>
  </si>
  <si>
    <t>CAPA List / Summary</t>
  </si>
  <si>
    <t>Memastikan halaman CAPA menampilkan ringkasan total, open, overdue, dan closed.</t>
  </si>
  <si>
    <t>SUPERADMIN/TENANT_ADMIN/ITAM_MANAGER/SECURITY_OFFICER/AUDITOR</t>
  </si>
  <si>
    <t>Login dengan role yang punya hak view CAPA.</t>
  </si>
  <si>
    <t>1. Buka route `/capa`.
2. Tunggu halaman selesai loading.
3. Periksa kartu ringkasan dan tabel list.</t>
  </si>
  <si>
    <t>- Halaman CAPA terbuka.
- Summary cards total/open/overdue/closed tampil.
- Tabel list CAPA terisi sesuai data tenant.</t>
  </si>
  <si>
    <t>Minimal 3 CAPA dengan status berbeda.</t>
  </si>
  <si>
    <t>https://raw.githubusercontent.com/MuhamadRamdhani/ITAM/main/apps/web/app/capa/CapaClient.tsx</t>
  </si>
  <si>
    <t>CAPA-002</t>
  </si>
  <si>
    <t>Search CAPA</t>
  </si>
  <si>
    <t>Memastikan search CAPA bekerja untuk capa_code, title, source label, atau nonconformity summary.</t>
  </si>
  <si>
    <t>Role dengan hak view CAPA</t>
  </si>
  <si>
    <t>Tersedia data CAPA dengan kata kunci unik.</t>
  </si>
  <si>
    <t>1. Buka `/capa`.
2. Ketik kata kunci pada kolom Search CAPA.
3. Tekan Enter atau klik Apply.</t>
  </si>
  <si>
    <t>- Hasil list menyempit sesuai kata kunci.
- Data yang tidak relevan tidak tampil.</t>
  </si>
  <si>
    <t>Contoh kata kunci: kode CAPA, title, source_label.</t>
  </si>
  <si>
    <t>https://raw.githubusercontent.com/MuhamadRamdhani/ITAM/main/apps/api/src/modules/capa/capa.repo.js</t>
  </si>
  <si>
    <t>CAPA-003</t>
  </si>
  <si>
    <t>Filter Status</t>
  </si>
  <si>
    <t>Memastikan filter status dapat memfilter OPEN, ROOT_CAUSE, CORRECTIVE_ACTION, PREVENTIVE_ACTION, VERIFICATION, CLOSED, dan CANCELLED.</t>
  </si>
  <si>
    <t>Tersedia data CAPA lintas status.</t>
  </si>
  <si>
    <t>1. Buka `/capa`.
2. Pilih salah satu nilai Status.
3. Klik Apply.</t>
  </si>
  <si>
    <t>- List hanya menampilkan CAPA dengan status yang dipilih.
- Reset Filters mengembalikan semua data.</t>
  </si>
  <si>
    <t>Gunakan status OPEN dan CLOSED sebagai sampel utama.</t>
  </si>
  <si>
    <t>CAPA-004</t>
  </si>
  <si>
    <t>Filter Source Type</t>
  </si>
  <si>
    <t>Memastikan filter source type bekerja untuk INTERNAL_AUDIT_FINDING, MANAGEMENT_REVIEW_ACTION_ITEM, dan OTHER.</t>
  </si>
  <si>
    <t>Tersedia data CAPA dengan source_type berbeda.</t>
  </si>
  <si>
    <t>1. Buka `/capa`.
2. Pilih Source Type.
3. Klik Apply.</t>
  </si>
  <si>
    <t>- List hanya menampilkan source_type yang dipilih.
- Kolom source menampilkan source_label atau source_type.</t>
  </si>
  <si>
    <t>Sediakan 1 data per source_type.</t>
  </si>
  <si>
    <t>CAPA-005</t>
  </si>
  <si>
    <t>Filter Severity</t>
  </si>
  <si>
    <t>Memastikan filter severity bekerja untuk LOW, MEDIUM, HIGH, dan CRITICAL.</t>
  </si>
  <si>
    <t>Tersedia data CAPA dengan severity berbeda.</t>
  </si>
  <si>
    <t>1. Buka `/capa`.
2. Pilih Severity.
3. Klik Apply.</t>
  </si>
  <si>
    <t>- List hanya menampilkan severity yang dipilih.
- Badge severity sesuai nilai data.</t>
  </si>
  <si>
    <t>Sediakan 1 data HIGH dan 1 data CRITICAL.</t>
  </si>
  <si>
    <t>CAPA-006</t>
  </si>
  <si>
    <t>Pagination</t>
  </si>
  <si>
    <t>Memastikan pagination list CAPA bekerja dengan page size 10.</t>
  </si>
  <si>
    <t>Minimal ada 11 data CAPA pada tenant yang sama.</t>
  </si>
  <si>
    <t>1. Buka `/capa`.
2. Klik Next.
3. Klik Previous kembali.</t>
  </si>
  <si>
    <t>- Halaman berpindah dengan benar.
- Nomor page berubah.
- Data tidak duplikat antar halaman.</t>
  </si>
  <si>
    <t>Siapkan &gt;10 data CAPA.</t>
  </si>
  <si>
    <t>CAPA-007</t>
  </si>
  <si>
    <t>Empty State</t>
  </si>
  <si>
    <t>Memastikan halaman CAPA menampilkan empty state saat filter tidak menemukan data.</t>
  </si>
  <si>
    <t>Tidak ada data yang cocok dengan filter yang dipakai.</t>
  </si>
  <si>
    <t>1. Cari keyword yang pasti tidak ada.
2. Klik Apply.</t>
  </si>
  <si>
    <t>- Halaman tidak error.
- Muncul pesan `No CAPA cases matched the current filters.`</t>
  </si>
  <si>
    <t>Kata kunci acak unik.</t>
  </si>
  <si>
    <t>CAPA-008</t>
  </si>
  <si>
    <t>Create CAPA - Manual</t>
  </si>
  <si>
    <t>Memastikan CAPA baru dapat dibuat manual dengan source_type OTHER.</t>
  </si>
  <si>
    <t>SUPERADMIN/TENANT_ADMIN/ITAM_MANAGER/SECURITY_OFFICER</t>
  </si>
  <si>
    <t>Login sebagai role manage CAPA.</t>
  </si>
  <si>
    <t>1. Buka `/capa`.
2. Isi capa_code, title, source_type=OTHER, severity, due_date, nonconformity_summary.
3. Klik Create CAPA.</t>
  </si>
  <si>
    <t>- CAPA baru tersimpan dengan status OPEN.
- Sistem menampilkan pesan sukses.
- User diarahkan ke detail CAPA.</t>
  </si>
  <si>
    <t>Contoh: CAPA-2026-001, severity=HIGH.</t>
  </si>
  <si>
    <t>https://raw.githubusercontent.com/MuhamadRamdhani/ITAM/main/apps/api/src/modules/capa/capa.service.js</t>
  </si>
  <si>
    <t>CAPA-009</t>
  </si>
  <si>
    <t>Create CAPA - Audit Finding</t>
  </si>
  <si>
    <t>Memastikan CAPA dapat dibuat dari referensi internal audit finding secara manual melalui source_type, source_id, dan source_label.</t>
  </si>
  <si>
    <t>Tersedia finding internal audit yang ingin ditindaklanjuti.</t>
  </si>
  <si>
    <t>1. Buka `/capa`.
2. Isi source_type=INTERNAL_AUDIT_FINDING.
3. Isi source_id dan source_label.
4. Simpan CAPA.</t>
  </si>
  <si>
    <t>- CAPA tersimpan.
- Detail/source menampilkan source_label atau source_type.
- Relasi yang terbentuk bersifat referensi data source.</t>
  </si>
  <si>
    <t>Contoh source_id finding yang valid secara bisnis.</t>
  </si>
  <si>
    <t>https://raw.githubusercontent.com/MuhamadRamdhani/ITAM/main/apps/api/src/modules/capa/capa.schemas.js</t>
  </si>
  <si>
    <t>CAPA-010</t>
  </si>
  <si>
    <t>Create CAPA - Management Review</t>
  </si>
  <si>
    <t>Memastikan CAPA dapat dibuat dari action item management review melalui source_type MANAGEMENT_REVIEW_ACTION_ITEM.</t>
  </si>
  <si>
    <t>Tersedia management review action item yang ingin ditindaklanjuti.</t>
  </si>
  <si>
    <t>1. Buka `/capa`.
2. Isi source_type=MANAGEMENT_REVIEW_ACTION_ITEM.
3. Isi source_id dan source_label.
4. Simpan CAPA.</t>
  </si>
  <si>
    <t>- CAPA tersimpan dengan referensi source management review.
- Source tampil di list dan detail.</t>
  </si>
  <si>
    <t>Contoh source_id action item management review.</t>
  </si>
  <si>
    <t>CAPA-011</t>
  </si>
  <si>
    <t>Duplicate CAPA Code</t>
  </si>
  <si>
    <t>Memastikan capa_code harus unik per tenant.</t>
  </si>
  <si>
    <t>Sudah ada CAPA dengan capa_code tertentu pada tenant yang sama.</t>
  </si>
  <si>
    <t>1. Buat CAPA baru menggunakan capa_code yang sama.
2. Klik Create CAPA.</t>
  </si>
  <si>
    <t>- Backend menolak dengan konflik.
- Tidak ada CAPA duplikat yang tersimpan.</t>
  </si>
  <si>
    <t>Gunakan capa_code yang sama dua kali.</t>
  </si>
  <si>
    <t>https://raw.githubusercontent.com/MuhamadRamdhani/ITAM/main/docs/capa-ddl.sql</t>
  </si>
  <si>
    <t>CAPA-012</t>
  </si>
  <si>
    <t>Owner Identity Validation</t>
  </si>
  <si>
    <t>Memastikan owner_identity_id hanya boleh menunjuk identity milik tenant yang sama.</t>
  </si>
  <si>
    <t>Ada identity id invalid atau milik tenant lain.</t>
  </si>
  <si>
    <t>1. Buat/ubah CAPA.
2. Isi owner_identity_id yang tidak valid.
3. Simpan.</t>
  </si>
  <si>
    <t>- Backend menolak data.
- CAPA tidak tersimpan / tidak berubah.</t>
  </si>
  <si>
    <t>Gunakan identity id yang tidak ada.</t>
  </si>
  <si>
    <t>CAPA-013</t>
  </si>
  <si>
    <t>Enum Validation</t>
  </si>
  <si>
    <t>Memastikan source_type dan severity hanya menerima enum yang didukung.</t>
  </si>
  <si>
    <t>Siapkan request yang memanipulasi payload.</t>
  </si>
  <si>
    <t>1. Kirim payload create/update dengan source_type atau severity yang tidak valid.
2. Simpan.</t>
  </si>
  <si>
    <t>- Backend menolak dengan VALIDATION_ERROR.
- Data CAPA tidak berubah.</t>
  </si>
  <si>
    <t>Uji source_type=FOO dan severity=URGENT.</t>
  </si>
  <si>
    <t>CAPA-014</t>
  </si>
  <si>
    <t>Open Detail</t>
  </si>
  <si>
    <t>Memastikan tombol Open Detail membuka detail CAPA yang benar.</t>
  </si>
  <si>
    <t>Minimal ada 1 CAPA pada list.</t>
  </si>
  <si>
    <t>1. Buka `/capa`.
2. Klik Open Detail pada salah satu row.</t>
  </si>
  <si>
    <t>- Detail CAPA yang sesuai terbuka.
- Header menampilkan status, severity, title, code, source, owner, due date.</t>
  </si>
  <si>
    <t>Pilih CAPA yang sudah punya owner dan due_date.</t>
  </si>
  <si>
    <t>https://raw.githubusercontent.com/MuhamadRamdhani/ITAM/main/apps/web/app/capa/%5Bid%5D/CapaDetailClient.tsx</t>
  </si>
  <si>
    <t>CAPA-015</t>
  </si>
  <si>
    <t>Detail Not Found</t>
  </si>
  <si>
    <t>Memastikan akses ke CAPA id yang tidak ada menghasilkan not found.</t>
  </si>
  <si>
    <t>Tidak ada data CAPA dengan id yang diuji.</t>
  </si>
  <si>
    <t>1. Akses `/capa/{id}` dengan id yang tidak ada.</t>
  </si>
  <si>
    <t>- Muncul pesan `CAPA not found.` atau error yang setara.
- Tidak ada data detail yang tampil.</t>
  </si>
  <si>
    <t>Gunakan id yang pasti tidak ada.</t>
  </si>
  <si>
    <t>CAPA-016</t>
  </si>
  <si>
    <t>Update Basic Details - OPEN</t>
  </si>
  <si>
    <t>Memastikan basic details dapat diedit saat status masih OPEN.</t>
  </si>
  <si>
    <t>Ada CAPA dengan status OPEN.</t>
  </si>
  <si>
    <t>1. Buka detail CAPA OPEN.
2. Ubah title, severity, owner, due_date, atau notes.
3. Klik Save.</t>
  </si>
  <si>
    <t>- Data basic berubah.
- Pesan sukses tampil.
- updated_at berubah.</t>
  </si>
  <si>
    <t>Gunakan CAPA OPEN dengan data awal yang jelas.</t>
  </si>
  <si>
    <t>CAPA-017</t>
  </si>
  <si>
    <t>Update Basic Details - ROOT_CAUSE</t>
  </si>
  <si>
    <t>Memastikan basic details masih dapat diedit saat status ROOT_CAUSE.</t>
  </si>
  <si>
    <t>Ada CAPA berstatus ROOT_CAUSE.</t>
  </si>
  <si>
    <t>1. Buka detail CAPA ROOT_CAUSE.
2. Ubah metadata yang masih diperbolehkan.
3. Simpan.</t>
  </si>
  <si>
    <t>- Perubahan basic details berhasil.
- Status tetap ROOT_CAUSE.</t>
  </si>
  <si>
    <t>Gunakan CAPA yang sudah punya root cause.</t>
  </si>
  <si>
    <t>https://raw.githubusercontent.com/MuhamadRamdhani/ITAM/main/apps/api/src/modules/capa/capa.constants.js</t>
  </si>
  <si>
    <t>CAPA-018</t>
  </si>
  <si>
    <t>Update Basic Details Blocked After Structure Lock</t>
  </si>
  <si>
    <t>Memastikan update basic details ditolak setelah CAPA masuk ke tahap CORRECTIVE_ACTION atau lebih lanjut.</t>
  </si>
  <si>
    <t>Ada CAPA berstatus CORRECTIVE_ACTION/PREVENTIVE_ACTION/VERIFICATION.</t>
  </si>
  <si>
    <t>1. Buka detail CAPA tahap lanjut.
2. Coba ubah title atau metadata lain.
3. Klik Save.</t>
  </si>
  <si>
    <t>- Backend menolak dengan CAPA_READ_ONLY.
- Data tidak berubah.</t>
  </si>
  <si>
    <t>Gunakan CAPA status CORRECTIVE_ACTION.</t>
  </si>
  <si>
    <t>CAPA-019</t>
  </si>
  <si>
    <t>Record Root Cause</t>
  </si>
  <si>
    <t>Memastikan root cause dapat direkam dari status OPEN.</t>
  </si>
  <si>
    <t>Ada CAPA status OPEN.</t>
  </si>
  <si>
    <t>1. Buka detail CAPA.
2. Isi Root Cause.
3. Klik Save Root Cause.</t>
  </si>
  <si>
    <t>- Status berubah menjadi ROOT_CAUSE.
- root_caused_at terisi.
- Ringkasan root cause tampil di detail.</t>
  </si>
  <si>
    <t>Isi root cause yang jelas dan terukur.</t>
  </si>
  <si>
    <t>CAPA-020</t>
  </si>
  <si>
    <t>Root Cause Required</t>
  </si>
  <si>
    <t>Memastikan root cause tidak boleh disimpan kosong.</t>
  </si>
  <si>
    <t>1. Buka detail CAPA.
2. Biarkan field root cause kosong.
3. Klik Save Root Cause.</t>
  </si>
  <si>
    <t>- Sistem menolak penyimpanan.
- Status tidak berubah.</t>
  </si>
  <si>
    <t>Uji field kosong/whitespace.</t>
  </si>
  <si>
    <t>CAPA-021</t>
  </si>
  <si>
    <t>Corrective Action Requires Root Cause</t>
  </si>
  <si>
    <t>Memastikan corrective action hanya bisa direkam setelah root cause tersedia.</t>
  </si>
  <si>
    <t>Ada CAPA OPEN tanpa root cause.</t>
  </si>
  <si>
    <t>1. Buka detail CAPA.
2. Isi corrective action tanpa merekam root cause.
3. Klik Save Corrective.</t>
  </si>
  <si>
    <t>- Backend menolak dengan CAPA_ROOT_CAUSE_REQUIRED atau CAPA_STAGE_BLOCKED.
- Status tidak berubah.</t>
  </si>
  <si>
    <t>Gunakan CAPA baru tanpa root cause.</t>
  </si>
  <si>
    <t>CAPA-022</t>
  </si>
  <si>
    <t>Record Corrective Action</t>
  </si>
  <si>
    <t>Memastikan corrective action mengubah status menjadi CORRECTIVE_ACTION.</t>
  </si>
  <si>
    <t>Ada CAPA status ROOT_CAUSE dengan root_cause_summary terisi.</t>
  </si>
  <si>
    <t>1. Isi Corrective Action.
2. Klik Save Corrective.</t>
  </si>
  <si>
    <t>- Status berubah menjadi CORRECTIVE_ACTION.
- corrective_action_at terisi.</t>
  </si>
  <si>
    <t>Gunakan CAPA hasil skenario root cause.</t>
  </si>
  <si>
    <t>CAPA-023</t>
  </si>
  <si>
    <t>Preventive Action Requires Corrective</t>
  </si>
  <si>
    <t>Memastikan preventive action hanya bisa direkam setelah corrective action tersedia.</t>
  </si>
  <si>
    <t>Ada CAPA ROOT_CAUSE tanpa corrective action.</t>
  </si>
  <si>
    <t>1. Buka detail.
2. Isi preventive action.
3. Klik Save Preventive.</t>
  </si>
  <si>
    <t>- Backend menolak dengan CAPA_CORRECTIVE_REQUIRED atau CAPA_STAGE_BLOCKED.
- Status tidak berubah.</t>
  </si>
  <si>
    <t>Gunakan CAPA yang berhenti di ROOT_CAUSE.</t>
  </si>
  <si>
    <t>CAPA-024</t>
  </si>
  <si>
    <t>Record Preventive Action</t>
  </si>
  <si>
    <t>Memastikan preventive action mengubah status menjadi PREVENTIVE_ACTION.</t>
  </si>
  <si>
    <t>Ada CAPA status CORRECTIVE_ACTION.</t>
  </si>
  <si>
    <t>1. Isi Preventive Action.
2. Klik Save Preventive.</t>
  </si>
  <si>
    <t>- Status berubah menjadi PREVENTIVE_ACTION.
- preventive_action_at terisi.</t>
  </si>
  <si>
    <t>Gunakan CAPA hasil corrective action.</t>
  </si>
  <si>
    <t>CAPA-025</t>
  </si>
  <si>
    <t>Verification Requires Preventive</t>
  </si>
  <si>
    <t>Memastikan verification hanya bisa direkam setelah preventive action tersedia.</t>
  </si>
  <si>
    <t>Ada CAPA CORRECTIVE_ACTION tanpa preventive action.</t>
  </si>
  <si>
    <t>1. Buka detail.
2. Isi verification.
3. Klik Save Verification.</t>
  </si>
  <si>
    <t>- Backend menolak dengan CAPA_PREVENTIVE_REQUIRED atau CAPA_STAGE_BLOCKED.
- Status tidak berubah.</t>
  </si>
  <si>
    <t>Gunakan CAPA yang berhenti di corrective.</t>
  </si>
  <si>
    <t>CAPA-026</t>
  </si>
  <si>
    <t>Record Verification</t>
  </si>
  <si>
    <t>Memastikan verification dapat direkam oleh follow-up role dan mengubah status menjadi VERIFICATION.</t>
  </si>
  <si>
    <t>Ada CAPA status PREVENTIVE_ACTION.</t>
  </si>
  <si>
    <t>1. Isi Verification.
2. Klik Save Verification.</t>
  </si>
  <si>
    <t>- Status berubah menjadi VERIFICATION.
- verified_at terisi.
- verification_summary tampil di detail.</t>
  </si>
  <si>
    <t>Gunakan CAPA hasil preventive action.</t>
  </si>
  <si>
    <t>CAPA-027</t>
  </si>
  <si>
    <t>Close Requires Verification</t>
  </si>
  <si>
    <t>Memastikan CAPA hanya bisa ditutup setelah status VERIFICATION dan verification summary tersedia.</t>
  </si>
  <si>
    <t>Ada CAPA belum sampai VERIFICATION.</t>
  </si>
  <si>
    <t>1. Coba klik Close CAPA sebelum verification selesai.</t>
  </si>
  <si>
    <t>- Backend menolak dengan CAPA_STAGE_BLOCKED atau CAPA_VERIFY_REQUIRED.
- Status tetap.</t>
  </si>
  <si>
    <t>Uji pada CAPA PREVENTIVE_ACTION.</t>
  </si>
  <si>
    <t>CAPA-028</t>
  </si>
  <si>
    <t>Close CAPA</t>
  </si>
  <si>
    <t>Memastikan CAPA dapat ditutup setelah verification selesai.</t>
  </si>
  <si>
    <t>Ada CAPA status VERIFICATION dengan verification_summary terisi.</t>
  </si>
  <si>
    <t>1. Isi closure notes (opsional).
2. Klik Close CAPA.</t>
  </si>
  <si>
    <t>- Status berubah menjadi CLOSED.
- closed_at terisi.
- Basic detail menjadi read-only.</t>
  </si>
  <si>
    <t>Gunakan CAPA hasil verification.</t>
  </si>
  <si>
    <t>CAPA-029</t>
  </si>
  <si>
    <t>Cancel CAPA</t>
  </si>
  <si>
    <t>Memastikan CAPA dapat dibatalkan dari status non-closed.</t>
  </si>
  <si>
    <t>Ada CAPA OPEN atau in-progress yang ingin dibatalkan.</t>
  </si>
  <si>
    <t>1. Isi cancel reason (opsional).
2. Klik Cancel CAPA.</t>
  </si>
  <si>
    <t>- Status berubah menjadi CANCELLED.
- cancelled_at terisi.
- Catatan pembatalan tersimpan pada notes.</t>
  </si>
  <si>
    <t>Gunakan CAPA OPEN atau ROOT_CAUSE.</t>
  </si>
  <si>
    <t>CAPA-030</t>
  </si>
  <si>
    <t>Cancel Closed CAPA Blocked</t>
  </si>
  <si>
    <t>Memastikan CAPA yang sudah CLOSED tidak dapat dibatalkan.</t>
  </si>
  <si>
    <t>Ada CAPA status CLOSED.</t>
  </si>
  <si>
    <t>1. Akses endpoint cancel untuk CAPA CLOSED atau uji dari UI bila tombol masih ada.</t>
  </si>
  <si>
    <t>- Backend menolak dengan CAPA_READ_ONLY.
- Status tetap CLOSED.</t>
  </si>
  <si>
    <t>Gunakan CAPA yang sudah ditutup.</t>
  </si>
  <si>
    <t>CAPA-031</t>
  </si>
  <si>
    <t>Auditor Read-Only Access</t>
  </si>
  <si>
    <t>Memastikan AUDITOR hanya dapat melihat list/detail tetapi tidak boleh create, update, atau menjalankan stage action.</t>
  </si>
  <si>
    <t>Login sebagai AUDITOR.</t>
  </si>
  <si>
    <t>1. Buka `/capa` dan detail salah satu CAPA.
2. Coba create CAPA.
3. Coba update basic details.
4. Coba simpan root cause/corrective/preventive/verification/close/cancel.</t>
  </si>
  <si>
    <t>- List dan detail bisa dibaca.
- Semua aksi manage/follow-up ditolak backend.
- Tidak ada perubahan data.</t>
  </si>
  <si>
    <t>Gunakan akun AUDITOR aktif.</t>
  </si>
  <si>
    <t>Perlu perhatian UX: form create dan kontrol detail tampak bergantung pada status, bukan role, sehingga perlu dicek apakah frontend sudah menyembunyikan aksi untuk role read-only.</t>
  </si>
  <si>
    <t>CAPA-032</t>
  </si>
  <si>
    <t>Security Officer Full Lifecycle</t>
  </si>
  <si>
    <t>Memastikan SECURITY_OFFICER termasuk role yang dapat manage dan follow-up CAPA end-to-end.</t>
  </si>
  <si>
    <t>SECURITY_OFFICER</t>
  </si>
  <si>
    <t>Login sebagai SECURITY_OFFICER.</t>
  </si>
  <si>
    <t>1. Buat CAPA baru.
2. Lanjutkan root cause.
3. Lanjut corrective, preventive, verification, lalu close.</t>
  </si>
  <si>
    <t>- Semua aksi berhasil untuk SECURITY_OFFICER.
- Tidak ada penolakan role di backend.</t>
  </si>
  <si>
    <t>Gunakan satu CAPA end-to-end.</t>
  </si>
  <si>
    <t>CAPA-033</t>
  </si>
  <si>
    <t>Overdue Calculation</t>
  </si>
  <si>
    <t>Memastikan overdue hanya dihitung untuk CAPA non-final yang due_date sudah lewat.</t>
  </si>
  <si>
    <t>Ada CAPA OPEN/ROOT_CAUSE dengan due_date kemarin, dan ada CAPA CLOSED dengan due_date kemarin.</t>
  </si>
  <si>
    <t>1. Buka list CAPA.
2. Periksa kartu Overdue dan badge Overdue pada row.
3. Bandingkan CAPA final vs non-final.</t>
  </si>
  <si>
    <t>- CAPA non-final dengan due_date lewat ditandai overdue.
- CAPA CLOSED/CANCELLED tidak dihitung overdue.</t>
  </si>
  <si>
    <t>Siapkan 1 CAPA OPEN overdue dan 1 CAPA CLOSED overdue secara tanggal.</t>
  </si>
  <si>
    <t>CAPA-034</t>
  </si>
  <si>
    <t>Memastikan CAPA hanya dapat dibaca dalam tenant yang sama.</t>
  </si>
  <si>
    <t>Cross-tenant</t>
  </si>
  <si>
    <t>Ada dua tenant dan masing-masing punya data CAPA sendiri.</t>
  </si>
  <si>
    <t>1. Login tenant A.
2. Coba akses id CAPA tenant B.</t>
  </si>
  <si>
    <t>- Data tenant lain tidak terbaca.
- Sistem mengembalikan not found / tidak menemukan case.</t>
  </si>
  <si>
    <t>Siapkan id CAPA dari tenant berbeda.</t>
  </si>
  <si>
    <t>CAPA-035</t>
  </si>
  <si>
    <t>Audit Trail per Stage</t>
  </si>
  <si>
    <t>Memastikan create/update/root cause/corrective/preventive/verification/close/cancel menulis audit event.</t>
  </si>
  <si>
    <t>Audit events module aktif dan user dapat membaca event.</t>
  </si>
  <si>
    <t>1. Jalankan 1 atau lebih aksi CAPA.
2. Buka Audit Events.
3. Cari action `capa.case_created`, `capa.case_updated`, `capa.root_cause_recorded`, dst.</t>
  </si>
  <si>
    <t>- Audit event tercatat untuk setiap aksi utama CAPA.
- entityType menggunakan `CAPA_CASE`.</t>
  </si>
  <si>
    <t>Jalankan minimal create dan root cause.</t>
  </si>
  <si>
    <t>CAPA-036</t>
  </si>
  <si>
    <t>Dashboard / Launcher Availability</t>
  </si>
  <si>
    <t>Memastikan jalur akses ke modul CAPA sesuai implementasi frontend saat ini.</t>
  </si>
  <si>
    <t>Review</t>
  </si>
  <si>
    <t>Semua role view/manage CAPA</t>
  </si>
  <si>
    <t>Login ke home dashboard.</t>
  </si>
  <si>
    <t>1. Buka Home / Dashboard.
2. Cari launcher atau quick link CAPA.
3. Bila tidak ada, akses `/capa` langsung.</t>
  </si>
  <si>
    <t>- Route `/capa` tetap bisa dipakai.
- Catat apakah launcher home sudah ditambahkan atau belum pada versi repo ini.</t>
  </si>
  <si>
    <t>Akses dari dashboard dan akses manual route.</t>
  </si>
  <si>
    <t>Pada file home page yang diperiksa, quick links dan launcher yang terlihat belum menyebut CAPA sehingga perlu dicek sebagai gap UX navigasi.</t>
  </si>
  <si>
    <t>Ringkasan Coverage Testing</t>
  </si>
  <si>
    <t>Gunakan sheet ini untuk melihat jumlah skenario per modul, prioritas, dan status eksekusi.</t>
  </si>
  <si>
    <t>Area</t>
  </si>
  <si>
    <t>Total</t>
  </si>
  <si>
    <t>Ringkasan Alur per Role</t>
  </si>
  <si>
    <t>Role</t>
  </si>
  <si>
    <t>Total Alur</t>
  </si>
  <si>
    <t>Semua role login</t>
  </si>
  <si>
    <t>ITAM_MANAGER</t>
  </si>
  <si>
    <t>PROCUREMENT_CONTRACT_MANAGER</t>
  </si>
  <si>
    <t>ASSET_CUSTODIAN</t>
  </si>
  <si>
    <t>SERVICE_DESK_OPERATOR</t>
  </si>
  <si>
    <t>INTEGRATION_USER</t>
  </si>
  <si>
    <t>ITAM - Alur Testing per Role</t>
  </si>
  <si>
    <t>Sheet ini menjawab pola: siapa yang login → masuk ke modul mana → melakukan apa → fitur itu dipakai untuk apa → setelah itu masuk ke detail mana → di detail harus mengecek apa.</t>
  </si>
  <si>
    <t>No</t>
  </si>
  <si>
    <t>Role Login</t>
  </si>
  <si>
    <t>Masuk ke Modul</t>
  </si>
  <si>
    <t>Halaman / Menu</t>
  </si>
  <si>
    <t>Setelah Itu Masuk Ke</t>
  </si>
  <si>
    <t>Aksi User</t>
  </si>
  <si>
    <t>Penjelasan Fitur yang Dipakai</t>
  </si>
  <si>
    <t>Setelah Aksi Sukses</t>
  </si>
  <si>
    <t>Fitur di Halaman Detail</t>
  </si>
  <si>
    <t>Fungsi Fitur Detail / Yang Dicek</t>
  </si>
  <si>
    <t>Expected Outcome</t>
  </si>
  <si>
    <t>Halaman Login</t>
  </si>
  <si>
    <t>Home / Dashboard</t>
  </si>
  <si>
    <t>Isi `Tenant Code`, `Email Address`, `Password`, lalu selesaikan captcha dan klik login.</t>
  </si>
  <si>
    <t>Fitur login dipakai untuk masuk ke tenant yang benar. Sistem memeriksa status tenant, kontrak, dan captcha sebelum sesi dibuat.</t>
  </si>
  <si>
    <t>Dashboard terbuka setelah login sukses.</t>
  </si>
  <si>
    <t>Summary cards, launcher modul, quick links</t>
  </si>
  <si>
    <t>Verifikasi summary tampil, launcher sesuai role, dan user bisa lanjut ke modul lain.</t>
  </si>
  <si>
    <t>Sesi cookie terbentuk; redirect ke `/`; data `/auth/me` dan dashboard berhasil dimuat.</t>
  </si>
  <si>
    <t>Modul yang sesuai role</t>
  </si>
  <si>
    <t>Baca summary cards lalu klik launcher/quick links yang tersedia.</t>
  </si>
  <si>
    <t>Dashboard adalah hub operasional. Bukan untuk membuat data bisnis baru, tetapi untuk melihat kondisi tenant dan masuk ke modul yang relevan.</t>
  </si>
  <si>
    <t>Masuk ke modul tujuan.</t>
  </si>
  <si>
    <t>Launcher role-based, quick links, vendor contract alert</t>
  </si>
  <si>
    <t>Cek launcher hanya menampilkan area yang relevan, dan quick link menuju halaman yang benar.</t>
  </si>
  <si>
    <t>User bisa memakai dashboard sebagai pintu masuk utama tanpa error navigasi.</t>
  </si>
  <si>
    <t>Buka Assets lalu klik `New Asset`.</t>
  </si>
  <si>
    <t>Assets List dipakai untuk melihat, mencari, dan memfilter aset berdasarkan type dan lifecycle state. New Asset dipakai untuk registrasi aset baru.</t>
  </si>
  <si>
    <t>Form New Asset tampil.</t>
  </si>
  <si>
    <t>Field create: Asset Tag, Name, Asset Type, Initial State, Status, coverage dates</t>
  </si>
  <si>
    <t>Isi field inti dan cek dropdown diambil dari config/master tenant.</t>
  </si>
  <si>
    <t>Form create terbuka dan siap dipakai membuat data asset baru.</t>
  </si>
  <si>
    <t>Isi data asset lalu simpan.</t>
  </si>
  <si>
    <t>Create Asset dipakai untuk membuat record asset baru. Coverage field harus mengikuti jenis asset, misalnya warranty/support untuk hardware dan subscription untuk software/saas.</t>
  </si>
  <si>
    <t>Masuk ke Asset Detail.</t>
  </si>
  <si>
    <t>Ownership Panel, Lifecycle Panel, Software Installations Panel, Software Assignments Modal</t>
  </si>
  <si>
    <t>Pahami bahwa Asset Detail adalah hub utama yang menghubungkan ownership, lifecycle, software, dan workflow lain.</t>
  </si>
  <si>
    <t>Asset tersimpan dan user masuk ke halaman detail asset yang baru dibuat.</t>
  </si>
  <si>
    <t>Tetap di Asset Detail</t>
  </si>
  <si>
    <t>Buka panel `Ownership` lalu ubah owner department, custodian identity, atau location bila diizinkan.</t>
  </si>
  <si>
    <t>Ownership Panel dipakai untuk menjaga siapa owner, siapa custodian, dan di lokasi mana asset berada. Perubahan ownership harus menyisakan jejak history.</t>
  </si>
  <si>
    <t>Tetap di Asset Detail.</t>
  </si>
  <si>
    <t>Department selector, Identity selector, Location selector, Reason</t>
  </si>
  <si>
    <t>Isi lookup department/identity/location dengan benar; Reason bisa dipakai untuk menjelaskan perubahan.</t>
  </si>
  <si>
    <t>Ownership aktif berubah dan riwayat ownership dapat dilihat.</t>
  </si>
  <si>
    <t>Buka panel `Lifecycle`, pilih target state, lalu submit transition.</t>
  </si>
  <si>
    <t>Lifecycle dipakai untuk mengendalikan status operasional aset. Beberapa transition bisa membutuhkan approval, evidence, atau gate rules sebelum perubahan diterapkan.</t>
  </si>
  <si>
    <t>Bisa tetap di detail atau lanjut ke Approvals bila perlu.</t>
  </si>
  <si>
    <t>Target State, indicator approval required/evidence required/gate rules/blocked reasons</t>
  </si>
  <si>
    <t>Cek apakah target state tersedia, apa syaratnya, dan apakah state berubah langsung atau menunggu approval.</t>
  </si>
  <si>
    <t>Current state/history terbaca; transition berhasil atau membuat approval bila memang diwajibkan.</t>
  </si>
  <si>
    <t>Buka `Software Installations`, tambah installation untuk asset yang sedang dibuka.</t>
  </si>
  <si>
    <t>Panel ini dipakai untuk mencatat software yang terpasang pada sebuah asset. Ini penting untuk jejak penggunaan software dan analisis compliance.</t>
  </si>
  <si>
    <t>Masih di Asset Detail.</t>
  </si>
  <si>
    <t>Software Product, Installation Status, Installed Version, Installation Date, Discovery Source</t>
  </si>
  <si>
    <t>Isi product, status, versi, tanggal, dan catatan agar jejak instalasi lengkap.</t>
  </si>
  <si>
    <t>Installation baru tercatat dan bisa dibaca kembali di panel installation history.</t>
  </si>
  <si>
    <t>Software Assignments Modal</t>
  </si>
  <si>
    <t>Buka assignment pada salah satu installation lalu kaitkan identity.</t>
  </si>
  <si>
    <t>Software Assignments dipakai untuk mencatat software tersebut digunakan oleh siapa dan dalam peran apa, misalnya primary user atau service account.</t>
  </si>
  <si>
    <t>Tetap di detail asset/installasi.</t>
  </si>
  <si>
    <t>Identity, Assignment Role, Assignment Status, Assigned At, Notes</t>
  </si>
  <si>
    <t>Pilih identity yang benar dan tentukan role assignment sesuai penggunaan nyata.</t>
  </si>
  <si>
    <t>Identity berhasil terhubung ke installation dan status assignment dapat dibaca.</t>
  </si>
  <si>
    <t>Approvals List</t>
  </si>
  <si>
    <t>Buka queue approvals, filter status, lalu buka salah satu approval.</t>
  </si>
  <si>
    <t>Approvals adalah gate untuk workflow lain. User biasanya memantau antrian approval dan membuka detail untuk memutuskan approve atau reject.</t>
  </si>
  <si>
    <t>Tetap di Approvals atau kembali ke modul asal.</t>
  </si>
  <si>
    <t>Status filter, detail approval, action Approve/Reject</t>
  </si>
  <si>
    <t>Cek sumber approval, statusnya, dan konsekuensinya ke workflow asal.</t>
  </si>
  <si>
    <t>Queue dapat difilter dan detail approval terbuka sesuai tenant.</t>
  </si>
  <si>
    <t>Workflow asal</t>
  </si>
  <si>
    <t>Klik `Approve` atau `Reject` pada approval yang menjadi kewenangannya.</t>
  </si>
  <si>
    <t>Decision action dipakai untuk menyetujui atau menolak workflow yang membutuhkan persetujuan. Khusus procurement, ini sering berkaitan dengan area kontrak atau workflow yang serupa.</t>
  </si>
  <si>
    <t>Kembali ke modul asal / queue approvals.</t>
  </si>
  <si>
    <t>Decision action, decision note</t>
  </si>
  <si>
    <t>Isi note bila diperlukan dan cek perubahan status approval serta dampaknya ke workflow sumber.</t>
  </si>
  <si>
    <t>Status approval berubah dan workflow asal menerima hasil keputusan.</t>
  </si>
  <si>
    <t>New Document</t>
  </si>
  <si>
    <t>Buka modul Documents lalu pilih create/new document.</t>
  </si>
  <si>
    <t>Documents dipakai untuk mengelola dokumen tenant dengan workflow versioning dari draft sampai published/archived.</t>
  </si>
  <si>
    <t>Document Detail / list document.</t>
  </si>
  <si>
    <t>Field create: doc_type_code, title, content_json</t>
  </si>
  <si>
    <t>Isi jenis dokumen, judul, dan konten awal sebagai draft pertama.</t>
  </si>
  <si>
    <t>Dokumen baru terbentuk dalam status draft atau sesuai workflow awal sistem.</t>
  </si>
  <si>
    <t>Document Detail</t>
  </si>
  <si>
    <t>Tetap di Document Detail</t>
  </si>
  <si>
    <t>Submit dokumen dari `DRAFT` ke `IN_REVIEW`, lalu revisi bila perlu.</t>
  </si>
  <si>
    <t>Detail document adalah tempat membaca isi, mengelola versi, dan menjalankan workflow dokumen. User operasional biasanya fokus membuat, memperbarui, lalu submit.</t>
  </si>
  <si>
    <t>Bisa lanjut ke approval/publish oleh admin.</t>
  </si>
  <si>
    <t>Versioning, status workflow, content update</t>
  </si>
  <si>
    <t>Cek perubahan status, kemampuan edit, dan konsistensi versi setelah submit/revisi.</t>
  </si>
  <si>
    <t>Dokumen bergerak ke tahap review dengan jejak workflow yang jelas.</t>
  </si>
  <si>
    <t>Lakukan approve, publish, atau archive sesuai tahap dokumen.</t>
  </si>
  <si>
    <t>TENANT_ADMIN berfungsi sebagai pengendali resmi workflow dokumen, termasuk publish agar dokumen dianggap resmi untuk tenant.</t>
  </si>
  <si>
    <t>Tetap di modul Documents.</t>
  </si>
  <si>
    <t>Approve/Publish/Archive action</t>
  </si>
  <si>
    <t>Pastikan hanya action yang relevan dengan status saat ini yang tersedia dan hasil akhir sesuai workflow.</t>
  </si>
  <si>
    <t>Dokumen berpindah ke status APPROVED/PUBLISHED/ARCHIVED sesuai tindakan yang dilakukan.</t>
  </si>
  <si>
    <t>Evidence Library / Upload</t>
  </si>
  <si>
    <t>Target object (Asset/Document/Approval/Contract)</t>
  </si>
  <si>
    <t>Upload file evidence lalu attach ke objek yang relevan.</t>
  </si>
  <si>
    <t>Evidence dipakai sebagai bukti formal. File yang diunggah bisa ditautkan ke asset, document, approval, atau contract agar jejak audit lebih kuat.</t>
  </si>
  <si>
    <t>Tetap di modul target atau Evidence Library.</t>
  </si>
  <si>
    <t>Upload file, Evidence Library, attach relation, download</t>
  </si>
  <si>
    <t>Cek batasan ukuran/tipe file, keberhasilan upload, dan bahwa file bisa diunduh kembali.</t>
  </si>
  <si>
    <t>Evidence tersimpan di library dan link ke objek target berhasil terbentuk.</t>
  </si>
  <si>
    <t>Audit Events List</t>
  </si>
  <si>
    <t>Tetap di Audit Events</t>
  </si>
  <si>
    <t>Buka audit trail lalu filter berdasarkan actor, entity, action, status, atau tanggal.</t>
  </si>
  <si>
    <t>Audit Events bersifat read-only dan dipakai untuk investigasi, audit, dan bukti jejak perubahan sistem.</t>
  </si>
  <si>
    <t>Tetap di modul audit events.</t>
  </si>
  <si>
    <t>Filter audit, list log, detail payload bila ada</t>
  </si>
  <si>
    <t>Pastikan data bisa dibaca dan tidak ada action create/update/delete di halaman ini.</t>
  </si>
  <si>
    <t>Audit trail tampil, filter bekerja, dan modul tetap read-only.</t>
  </si>
  <si>
    <t>Governance Scope</t>
  </si>
  <si>
    <t>Tetap di Governance Scope</t>
  </si>
  <si>
    <t>Buat `Scope Version` baru dalam status draft.</t>
  </si>
  <si>
    <t>Governance Scope dipakai untuk mendefinisikan ruang lingkup ITAM tenant: asset types, departments, locations, dan environments yang masuk cakupan.</t>
  </si>
  <si>
    <t>Scope Detail / list scope.</t>
  </si>
  <si>
    <t>Status, Asset Types in Scope, Departments in Scope, Locations in Scope, Environments</t>
  </si>
  <si>
    <t>Isi versi scope secara jelas, karena ini menjadi fondasi area governance berikutnya.</t>
  </si>
  <si>
    <t>Scope version draft terbentuk dan dapat dibuka kembali untuk dilanjutkan.</t>
  </si>
  <si>
    <t>Submit, approve, activate, atau supersede scope version yang ada.</t>
  </si>
  <si>
    <t>TENANT_ADMIN mengendalikan aktivasi scope resmi tenant. Aktivasi scope baru bisa men-supersede scope aktif sebelumnya.</t>
  </si>
  <si>
    <t>Tetap di Governance Scope.</t>
  </si>
  <si>
    <t>Submit/Approve/Activate/Supersede action</t>
  </si>
  <si>
    <t>Cek urutan workflow scope dan pastikan hanya ada versi aktif yang sah setelah aktivasi.</t>
  </si>
  <si>
    <t>Scope berpindah status dengan benar dan versi aktif sebelumnya tersupersede bila diperlukan.</t>
  </si>
  <si>
    <t>Governance Context</t>
  </si>
  <si>
    <t>Tetap di Governance Context</t>
  </si>
  <si>
    <t>Tambah context register baru, isi kategori, priority, owner, dan review date.</t>
  </si>
  <si>
    <t>Context register dipakai untuk mencatat isu/kondisi internal atau eksternal yang mempengaruhi tata kelola ITAM tenant.</t>
  </si>
  <si>
    <t>Tetap di Governance Context.</t>
  </si>
  <si>
    <t>Category, Priority, Status, Owner Identity, Review Date</t>
  </si>
  <si>
    <t>Jelaskan judul dan deskripsi context dengan jelas agar mudah ditindaklanjuti.</t>
  </si>
  <si>
    <t>Context baru tercatat dan bisa dipantau berdasarkan priority/status.</t>
  </si>
  <si>
    <t>Governance Stakeholders</t>
  </si>
  <si>
    <t>Tetap di Governance Stakeholders</t>
  </si>
  <si>
    <t>Tambah stakeholder register baru dan catat expectations-nya.</t>
  </si>
  <si>
    <t>Stakeholder register dipakai untuk mencatat pihak yang berkepentingan, prioritasnya, serta ekspektasi yang perlu dikelola tenant.</t>
  </si>
  <si>
    <t>Tetap di Governance Stakeholders.</t>
  </si>
  <si>
    <t>Category, Priority, Status, Owner Identity, Review Date, Expectations</t>
  </si>
  <si>
    <t>Isi harapan stakeholder dan review date agar tindak lanjut lebih terarah.</t>
  </si>
  <si>
    <t>Stakeholder baru tercatat dan siap dipantau.</t>
  </si>
  <si>
    <t>Vendors List</t>
  </si>
  <si>
    <t>Vendor Detail / Contracts</t>
  </si>
  <si>
    <t>Buka modul Vendors lalu buat vendor baru.</t>
  </si>
  <si>
    <t>Vendors adalah registri pemasok/publisher tenant. Data vendor dipakai oleh Contracts dan area procurement lain.</t>
  </si>
  <si>
    <t>Bisa lanjut ke Contracts.</t>
  </si>
  <si>
    <t>Vendor Code, Vendor Name, Vendor Type, primary contact, notes</t>
  </si>
  <si>
    <t>Pastikan vendor code unik, type sesuai, dan kontak utama terisi dengan benar.</t>
  </si>
  <si>
    <t>Vendor baru tersimpan dan tersedia di dropdown modul Contracts.</t>
  </si>
  <si>
    <t>New Contract / Contract Detail</t>
  </si>
  <si>
    <t>Buat contract baru dengan memilih vendor aktif tenant.</t>
  </si>
  <si>
    <t>Contracts dipakai untuk registri kontrak dan menjadi titik hubungan ke documents, assets, evidence, serta software entitlements.</t>
  </si>
  <si>
    <t>Masuk ke Contract Detail.</t>
  </si>
  <si>
    <t>Vendor, Contract Type, Status, dates, Renewal Notice Days, Owner Identity</t>
  </si>
  <si>
    <t>Isi kode, nama, tanggal, tipe kontrak, dan vendor dengan benar agar health contract bisa dihitung.</t>
  </si>
  <si>
    <t>Contract baru tersimpan dan dapat dibuka di detail.</t>
  </si>
  <si>
    <t>Contract Detail</t>
  </si>
  <si>
    <t>Tetap di Contract Detail</t>
  </si>
  <si>
    <t>Masuk ke tab `Documents` dan `Assets`, lalu attach relasi yang relevan.</t>
  </si>
  <si>
    <t>Tab relation di contract dipakai untuk menghubungkan kontrak ke dokumen dan aset yang tercakup oleh kontrak tersebut.</t>
  </si>
  <si>
    <t>Tetap di Contract Detail.</t>
  </si>
  <si>
    <t>Documents tab, Assets tab</t>
  </si>
  <si>
    <t>Pilih record yang tepat lalu verifikasi relasi tampil konsisten setelah attach/unlink.</t>
  </si>
  <si>
    <t>Contract memiliki relasi dokumen dan asset yang benar.</t>
  </si>
  <si>
    <t>Masuk ke tab `Evidence` lalu attach evidence file yang relevan.</t>
  </si>
  <si>
    <t>Evidence relation di contract dipakai untuk melampirkan bukti seperti scan kontrak, bukti penerimaan, atau dokumen pendukung lain.</t>
  </si>
  <si>
    <t>Evidence tab / Evidence File selector</t>
  </si>
  <si>
    <t>Cek evidence yang dipilih memang milik tenant yang sama dan dapat diunduh setelah terpasang.</t>
  </si>
  <si>
    <t>Evidence berhasil dikaitkan ke contract.</t>
  </si>
  <si>
    <t>Software Products List</t>
  </si>
  <si>
    <t>Software Product Detail</t>
  </si>
  <si>
    <t>Tambah software product baru ke registry.</t>
  </si>
  <si>
    <t>Software Products adalah master data software tenant. Registry ini menjadi sumber pilihan di installations, entitlements, dan allocation.</t>
  </si>
  <si>
    <t>Bisa lanjut ke contract atau asset detail.</t>
  </si>
  <si>
    <t>Nama product, publisher/vendor terkait, status</t>
  </si>
  <si>
    <t>Isi data produk secara konsisten agar pemakaiannya mudah dilacak di modul lain.</t>
  </si>
  <si>
    <t>Software product baru tersedia untuk dipilih di modul terkait.</t>
  </si>
  <si>
    <t>Software Entitlements</t>
  </si>
  <si>
    <t>Masuk ke panel `Software Entitlements` dan buat entitlement baru untuk contract.</t>
  </si>
  <si>
    <t>Entitlement dipakai untuk mencatat hak lisensi yang diperoleh dari suatu kontrak software.</t>
  </si>
  <si>
    <t>Tetap di Contract Detail / lanjut ke allocation.</t>
  </si>
  <si>
    <t>Software Product, quantity / license info, term</t>
  </si>
  <si>
    <t>Pastikan entitlement terkait ke product yang tepat dan term lisensi sesuai kontrak.</t>
  </si>
  <si>
    <t>Entitlement baru tercatat di contract.</t>
  </si>
  <si>
    <t>Contracts / Entitlement Allocations</t>
  </si>
  <si>
    <t>Entitlement Allocation</t>
  </si>
  <si>
    <t>Allocation detail / list</t>
  </si>
  <si>
    <t>Alokasikan entitlement ke asset, installation, atau assignment yang relevan.</t>
  </si>
  <si>
    <t>Entitlement Allocation dipakai untuk membagi hak lisensi ke penggunaan nyata agar compliance lebih mudah dipantau.</t>
  </si>
  <si>
    <t>Tetap di area allocation.</t>
  </si>
  <si>
    <t>Target asset/installation/assignment, quantity, notes</t>
  </si>
  <si>
    <t>Cek total alokasi tidak melampaui entitlement dan target alokasi memang valid.</t>
  </si>
  <si>
    <t>Alokasi lisensi tercatat dan siap dipakai untuk analisis compliance.</t>
  </si>
  <si>
    <t>Transfer Request List / Preview</t>
  </si>
  <si>
    <t>Transfer Request Detail</t>
  </si>
  <si>
    <t>Mulai transfer dari asset yang dipilih, lakukan preview, lalu submit request.</t>
  </si>
  <si>
    <t>Asset Transfer Request dipakai untuk memindahkan asset lintas tenant secara terkontrol. Preview penting untuk memastikan target tenant dan konsekuensi perpindahan.</t>
  </si>
  <si>
    <t>Masuk ke detail transfer request.</t>
  </si>
  <si>
    <t>Preview, target tenant, submit request</t>
  </si>
  <si>
    <t>Pastikan target tenant benar, preview valid, dan request terbentuk dalam status awal yang tepat.</t>
  </si>
  <si>
    <t>Transfer request baru tercatat dan bisa dipantau di detail/list.</t>
  </si>
  <si>
    <t>Workflow transfer</t>
  </si>
  <si>
    <t>Buka detail transfer request lalu decide approve/reject atau execute/cancel sesuai kewenangan.</t>
  </si>
  <si>
    <t>Detail transfer dipakai untuk memutuskan dan menindaklanjuti perpindahan asset lintas tenant sampai selesai.</t>
  </si>
  <si>
    <t>Kembali ke asset list/detail tenant terkait.</t>
  </si>
  <si>
    <t>Approve, Reject, Execute, Cancel action</t>
  </si>
  <si>
    <t>Cek status berubah sesuai action dan asset pindah tenant hanya saat workflow sah diselesaikan.</t>
  </si>
  <si>
    <t>Status transfer update dengan benar dan perpindahan asset berjalan sesuai keputusan.</t>
  </si>
  <si>
    <t>KPI Library &amp; Scorecard</t>
  </si>
  <si>
    <t>KPI Scorecard</t>
  </si>
  <si>
    <t>Buat KPI baru di library lalu definisikan target, baseline, source type, dan threshold.</t>
  </si>
  <si>
    <t>KPI Library dipakai untuk mendefinisikan indikator kinerja yang nanti diukur pada scorecard periodik.</t>
  </si>
  <si>
    <t>Lanjut ke scorecard KPI.</t>
  </si>
  <si>
    <t>Target, baseline, threshold, source type</t>
  </si>
  <si>
    <t>Pastikan definisi KPI jelas agar scorecard dan review berikutnya konsisten.</t>
  </si>
  <si>
    <t>KPI baru tercatat di library dan siap dipakai pada scorecard.</t>
  </si>
  <si>
    <t>Tetap di Scorecard</t>
  </si>
  <si>
    <t>Input actual value per periode lalu analisis status/trend KPI.</t>
  </si>
  <si>
    <t>Scorecard dipakai untuk membandingkan actual vs target per periode dan menjadi bahan Management Review.</t>
  </si>
  <si>
    <t>Bisa lanjut ke Management Reviews.</t>
  </si>
  <si>
    <t>Period, actual value, remarks, trend/status</t>
  </si>
  <si>
    <t>Cek perhitungan hasil, penilaian status, dan apakah data periode terbaca konsisten.</t>
  </si>
  <si>
    <t>Nilai aktual terekam dan scorecard dapat dipakai sebagai bahan evaluasi.</t>
  </si>
  <si>
    <t>Internal Audits List</t>
  </si>
  <si>
    <t>Internal Audit Detail</t>
  </si>
  <si>
    <t>Buat internal audit baru, isi ruang lingkup, tanggal, dan informasi dasar audit.</t>
  </si>
  <si>
    <t>Internal Audits dipakai untuk merencanakan dan menjalankan audit internal terhadap proses/objek di tenant.</t>
  </si>
  <si>
    <t>Masuk ke detail audit.</t>
  </si>
  <si>
    <t>Basic info audit, status audit</t>
  </si>
  <si>
    <t>Pastikan audit plan jelas sehingga langkah berikutnya seperti anggota, checklist, dan finding bisa mengikuti.</t>
  </si>
  <si>
    <t>Audit baru tercatat dan siap dikelola lebih lanjut.</t>
  </si>
  <si>
    <t>Tetap di Internal Audit Detail</t>
  </si>
  <si>
    <t>Tambah anggota audit, section checklist, item checklist, lalu start audit.</t>
  </si>
  <si>
    <t>Detail audit dipakai untuk mengatur tim audit dan daftar pemeriksaan yang akan dijalankan.</t>
  </si>
  <si>
    <t>Tetap di detail audit.</t>
  </si>
  <si>
    <t>Members, Checklist Sections, Checklist Items, Start Audit</t>
  </si>
  <si>
    <t>Cek anggota tersimpan, checklist lengkap, dan audit hanya dimulai saat siap.</t>
  </si>
  <si>
    <t>Audit dapat dimulai dengan struktur checklist dan anggota yang benar.</t>
  </si>
  <si>
    <t>Finding / Completion</t>
  </si>
  <si>
    <t>Catat finding, tindak lanjut, tutup finding yang selesai, lalu complete audit.</t>
  </si>
  <si>
    <t>Finding dipakai untuk mencatat temuan audit dan status penyelesaiannya sebelum audit dianggap selesai.</t>
  </si>
  <si>
    <t>Kembali ke list audit.</t>
  </si>
  <si>
    <t>Findings, finding status, complete/cancel audit</t>
  </si>
  <si>
    <t>Cek temuan tercatat, closure logis, dan complete audit hanya saat proses telah selesai.</t>
  </si>
  <si>
    <t>Audit selesai dengan finding dan status akhir yang dapat ditelusuri.</t>
  </si>
  <si>
    <t>Management Reviews List</t>
  </si>
  <si>
    <t>Management Review Detail</t>
  </si>
  <si>
    <t>Buat sesi management review baru dan isi overview rapat/periodenya.</t>
  </si>
  <si>
    <t>Management Reviews dipakai untuk review manajemen atas KPI, audit, governance, dan isu penting tenant.</t>
  </si>
  <si>
    <t>Masuk ke detail review.</t>
  </si>
  <si>
    <t>Overview, schedule/period, participant/summary fields</t>
  </si>
  <si>
    <t>Siapkan header review dengan periode dan konteks yang jelas.</t>
  </si>
  <si>
    <t>Review baru tercatat dan siap diisi keputusan serta action item.</t>
  </si>
  <si>
    <t>Action Items / Tracker</t>
  </si>
  <si>
    <t>Tambah decisions, action items, dan pantau tracker tindak lanjut.</t>
  </si>
  <si>
    <t>Area ini dipakai untuk memastikan hasil review manajemen berubah menjadi tindakan nyata dan dapat dipantau progresnya.</t>
  </si>
  <si>
    <t>Tetap di review atau complete review.</t>
  </si>
  <si>
    <t>Decisions, Action Items, Tracker status</t>
  </si>
  <si>
    <t>Cek setiap keputusan punya action item yang jelas dan tracker dapat di-update.</t>
  </si>
  <si>
    <t>Management review memiliki keputusan dan tindak lanjut yang rapi.</t>
  </si>
  <si>
    <t>Reports Asset Coverage / Asset Mapping</t>
  </si>
  <si>
    <t>Buka report, pakai filter, baca summary/list, lalu export ke Excel bila perlu.</t>
  </si>
  <si>
    <t>Reports dipakai untuk analisis dan bukti objektif. Report bersifat read-only dan digunakan untuk audit atau monitoring.</t>
  </si>
  <si>
    <t>Tetap di Reports / file export.</t>
  </si>
  <si>
    <t>Filter report, summary, list, export Excel</t>
  </si>
  <si>
    <t>Pastikan filter bekerja, summary sinkron dengan list, dan file export mengikuti filter.</t>
  </si>
  <si>
    <t>Report terbaca dengan benar dan export menghasilkan file yang sesuai.</t>
  </si>
  <si>
    <t>Admin Users</t>
  </si>
  <si>
    <t>User Detail / daftar user tenant</t>
  </si>
  <si>
    <t>Kelola user tenant, pilih tenant target bila perlu, lalu atur role user.</t>
  </si>
  <si>
    <t>Admin Users dipakai untuk mengelola user di tingkat tenant. SUPERADMIN memiliki kemampuan lintas tenant dan dapat menangani role reserved `SUPERADMIN`.</t>
  </si>
  <si>
    <t>Tetap di Admin Users.</t>
  </si>
  <si>
    <t>Tenant selector (untuk superadmin), identity/user fields, role assignment</t>
  </si>
  <si>
    <t>Cek tenant target benar, role assignment valid, dan reserved role hanya ditangani superadmin.</t>
  </si>
  <si>
    <t>User berhasil dibuat/diubah sesuai tenant target.</t>
  </si>
  <si>
    <t>Departments / Locations / Identities</t>
  </si>
  <si>
    <t>Master data lain yang terkait</t>
  </si>
  <si>
    <t>Kelola master departments, locations, dan identities tenant.</t>
  </si>
  <si>
    <t>Master data ini menjadi sumber selector di ownership, governance, contract owner, dan area tenant lainnya.</t>
  </si>
  <si>
    <t>Kembali ke modul operasional yang memakainya.</t>
  </si>
  <si>
    <t>Create/Edit Department, Location, Identity</t>
  </si>
  <si>
    <t>Pastikan master data baru langsung tersedia pada dropdown modul yang bergantung padanya.</t>
  </si>
  <si>
    <t>Master data tersimpan dan bisa dipakai oleh modul lain dalam tenant yang sama.</t>
  </si>
  <si>
    <t>Asset Types / Lifecycle States</t>
  </si>
  <si>
    <t>Assets / Governance</t>
  </si>
  <si>
    <t>Perbarui label asset types atau lifecycle states tenant sesuai kebutuhan tampilan.</t>
  </si>
  <si>
    <t>Asset Types dan Lifecycle States adalah master penting yang mempengaruhi Assets, Scope, dan workflow lifecycle.</t>
  </si>
  <si>
    <t>Kembali ke Assets atau Governance.</t>
  </si>
  <si>
    <t>Editable labels untuk asset types / lifecycle states</t>
  </si>
  <si>
    <t>Pastikan label yang diubah tetap konsisten dan modul yang memanggil master tersebut tetap bekerja.</t>
  </si>
  <si>
    <t>Perubahan label berhasil tampil di modul terkait tanpa merusak logic code.</t>
  </si>
  <si>
    <t>Tenants List / Tenant Detail</t>
  </si>
  <si>
    <t>Tenant contract monitoring</t>
  </si>
  <si>
    <t>Buat tenant baru atau buka detail tenant untuk memonitor status dan health contract.</t>
  </si>
  <si>
    <t>Superadmin Tenants adalah area platform untuk mengelola tenant SaaS, bukan sekadar data operasional tenant biasa.</t>
  </si>
  <si>
    <t>Tetap di area superadmin.</t>
  </si>
  <si>
    <t>Create tenant, edit tenant, contract dates, subscription notes, health state</t>
  </si>
  <si>
    <t>Cek tenant baru terbentuk, data kontrak tercatat, dan health state terhitung benar.</t>
  </si>
  <si>
    <t>Tenant platform berhasil dikelola dan status kontraknya terlihat jelas.</t>
  </si>
  <si>
    <t>Vendors / Contracts / Software Products</t>
  </si>
  <si>
    <t>List module</t>
  </si>
  <si>
    <t>Read-only analysis</t>
  </si>
  <si>
    <t>Buka Vendors, Contracts, atau Software Products hanya untuk membaca data dan korelasi antar-modul.</t>
  </si>
  <si>
    <t>AUDITOR berfungsi membaca evidence operasional tanpa mengubah data, terutama untuk menilai kesesuaian vendor-kontrak-software.</t>
  </si>
  <si>
    <t>Tetap di modul yang dibaca.</t>
  </si>
  <si>
    <t>Filter list, buka detail, baca relasi</t>
  </si>
  <si>
    <t>Pastikan auditor dapat membaca namun tidak mendapat tombol action write yang tidak semestinya.</t>
  </si>
  <si>
    <t>Data dapat dibaca untuk audit dan modul tetap read-only bagi auditor.</t>
  </si>
  <si>
    <t>Assets + Evidence</t>
  </si>
  <si>
    <t>Asset Detail / Evidence</t>
  </si>
  <si>
    <t>Dukungan operasional</t>
  </si>
  <si>
    <t>Masuk ke asset yang menjadi tanggung jawabnya, cek ownership dan lampirkan evidence bila dibutuhkan.</t>
  </si>
  <si>
    <t>Flow ini mewakili peran operasional lapangan: memahami asset yang dipegang, menjaga ownership tetap benar, dan menambahkan bukti ketika ada perpindahan/aktivitas.</t>
  </si>
  <si>
    <t>Kembali ke Assets atau Evidence.</t>
  </si>
  <si>
    <t>Ownership Panel, Evidence attach/upload</t>
  </si>
  <si>
    <t>Cek role custodian hanya memakai fitur yang memang menjadi kewenangannya.</t>
  </si>
  <si>
    <t>Custodian dapat menjalankan tugas operasional tanpa melihat aksi admin yang tidak relevan.</t>
  </si>
  <si>
    <t>Tetap di Halaman Login</t>
  </si>
  <si>
    <t>Isi tenant code dan email benar, tetapi password salah atau captcha belum diselesaikan, lalu klik login.</t>
  </si>
  <si>
    <t>Alur ini memastikan validasi login bekerja sebelum user masuk ke aplikasi. Mentor atau tester bisa langsung melihat bahwa login bukan hanya form masuk, tetapi gerbang validasi tenant, user, password, dan captcha.</t>
  </si>
  <si>
    <t>Tidak ada redirect ke dashboard.</t>
  </si>
  <si>
    <t>Pesan error login, captcha reset, field tetap bisa diperbaiki</t>
  </si>
  <si>
    <t>Cek apakah pesan error jelas, captcha di-reset saat invalid, dan user tetap bisa mencoba login lagi tanpa halaman crash.</t>
  </si>
  <si>
    <t>Login ditolak dengan aman; sesi tidak terbentuk; user tetap di login page.</t>
  </si>
  <si>
    <t>Login menggunakan akun tenant yang kontraknya expired, belum aktif, atau suspended.</t>
  </si>
  <si>
    <t>Fitur login juga memeriksa status tenant/kontrak. Ini penting supaya user mengerti bahwa masalah kadang bukan di password, melainkan di status tenant.</t>
  </si>
  <si>
    <t>Modal/penjelasan status tenant tampil.</t>
  </si>
  <si>
    <t>Modal kontrak/tenant blocked</t>
  </si>
  <si>
    <t>Cek judul modal, deskripsi, dan bahwa user benar-benar tidak bisa masuk ke dashboard ketika tenant diblokir.</t>
  </si>
  <si>
    <t>Akses diblokir dan alasan bisnisnya terlihat jelas di UI.</t>
  </si>
  <si>
    <t>Quick Links / Launcher</t>
  </si>
  <si>
    <t>Setelah login, baca summary cards, vendor contract alert, lalu klik launcher atau quick link yang tersedia.</t>
  </si>
  <si>
    <t>Dashboard dipakai sebagai hub operasional: melihat ringkasan kondisi tenant dan memilih modul mana yang akan dipakai.</t>
  </si>
  <si>
    <t>Masuk ke modul tujuan sesuai role.</t>
  </si>
  <si>
    <t>Summary cards, Vendor Contract Alert, Launcher, Quick Links</t>
  </si>
  <si>
    <t>Cek summary termuat, alert kontrak muncul bila ada data, dan tombol navigasi menuju modul yang sesuai.</t>
  </si>
  <si>
    <t>Dashboard bisa dipakai sebagai pintu masuk utama tanpa error navigasi.</t>
  </si>
  <si>
    <t>Assets List hasil filter</t>
  </si>
  <si>
    <t>Masuk ke Assets, gunakan Search, Asset Type, dan Lifecycle State untuk mencari aset tertentu.</t>
  </si>
  <si>
    <t>Assets List dipakai untuk menemukan asset dengan cepat sebelum user melakukan create, edit, ownership update, atau review detail.</t>
  </si>
  <si>
    <t>List asset tersaring.</t>
  </si>
  <si>
    <t>Search box, filter Asset Type, filter Lifecycle State, pagination, page size</t>
  </si>
  <si>
    <t>Cek apakah hasil list menyesuaikan filter, page kembali ke 1 saat filter berubah, dan opsi filter mengambil data dari config tenant.</t>
  </si>
  <si>
    <t>User bisa menemukan asset yang dituju secara cepat dan konsisten.</t>
  </si>
  <si>
    <t>Form New Asset</t>
  </si>
  <si>
    <t>Klik New Asset dari Assets List.</t>
  </si>
  <si>
    <t>Fitur create dipakai untuk registrasi asset baru yang nantinya menjadi pusat ownership, lifecycle, software, contract relation, dan reporting.</t>
  </si>
  <si>
    <t>Form create terbuka.</t>
  </si>
  <si>
    <t>Asset Tag, Name, Asset Type, Initial State, Status, coverage dates</t>
  </si>
  <si>
    <t>Jelaskan bahwa Asset Type dan Initial State berasal dari master tenant; coverage field berubah mengikuti jenis asset.</t>
  </si>
  <si>
    <t>Form create siap dipakai dan field inti dapat diisi.</t>
  </si>
  <si>
    <t>Isi form create asset lalu simpan.</t>
  </si>
  <si>
    <t>Aksi create dipakai untuk membuat record asset baru. Setelah sukses, user harus memahami bahwa pekerjaan belum selesai karena detail asset masih memiliki panel lanjutan.</t>
  </si>
  <si>
    <t>Masuk ke halaman Asset Detail.</t>
  </si>
  <si>
    <t>Ownership Panel, Lifecycle Panel, Software Installations, Software Assignments</t>
  </si>
  <si>
    <t>Di halaman detail, cek panel yang tersedia dan pahami bahwa detail asset adalah hub untuk proses lanjutan setelah create.</t>
  </si>
  <si>
    <t>Asset tersimpan dan detail asset terbuka dengan benar.</t>
  </si>
  <si>
    <t>Asset Detail - Ownership</t>
  </si>
  <si>
    <t>Di Asset Detail, ubah Owner Department, Current Custodian, dan Location.</t>
  </si>
  <si>
    <t>Ownership dipakai untuk menentukan siapa pemilik aset secara organisasi, siapa custodian aktifnya, dan di mana lokasinya. Ini penting untuk akuntabilitas.</t>
  </si>
  <si>
    <t>Data ownership aktif berubah.</t>
  </si>
  <si>
    <t>Lookup Department, Lookup Identity, Lookup Location, Save Ownership</t>
  </si>
  <si>
    <t>Cek lookup mengambil master data tenant, perubahan tersimpan, dan history ownership tetap terjaga.</t>
  </si>
  <si>
    <t>Ownership aktif berubah dan tercatat dengan rapi.</t>
  </si>
  <si>
    <t>Asset Detail - Lifecycle</t>
  </si>
  <si>
    <t>Di Asset Detail, buka Lifecycle Panel lalu pilih target state yang tidak membutuhkan approval.</t>
  </si>
  <si>
    <t>Lifecycle dipakai untuk mengubah status operasional asset. Untuk state yang sederhana, perubahan bisa berjalan langsung.</t>
  </si>
  <si>
    <t>Current state berubah dan history bertambah.</t>
  </si>
  <si>
    <t>Current State, Transition Options, Transition Form, History</t>
  </si>
  <si>
    <t>Cek target state yang tersedia, alasan blocked bila ada, dan riwayat lifecycle setelah transisi sukses.</t>
  </si>
  <si>
    <t>Transisi lifecycle langsung berhasil dan history bertambah.</t>
  </si>
  <si>
    <t>Pilih transition yang membutuhkan approval.</t>
  </si>
  <si>
    <t>Sebagian transition tidak langsung mengubah state, tetapi membuat approval agar proses tetap terkontrol.</t>
  </si>
  <si>
    <t>Masuk atau terhubung ke modul Approvals.</t>
  </si>
  <si>
    <t>Pending approval untuk asset/lifecycle terkait</t>
  </si>
  <si>
    <t>Cek apakah request approval terbentuk, status menunggu keputusan, dan perubahan state final baru terjadi setelah approval diputuskan.</t>
  </si>
  <si>
    <t>Approval terbentuk dan asset tidak meloncat state tanpa persetujuan.</t>
  </si>
  <si>
    <t>Asset Detail - Software Installations</t>
  </si>
  <si>
    <t>Software Installations Panel</t>
  </si>
  <si>
    <t>Masuk ke Asset Detail lalu tambah software installation.</t>
  </si>
  <si>
    <t>Panel ini dipakai untuk mencatat software apa yang terpasang pada asset, versi berapa, statusnya apa, dan sejak kapan terdeteksi/terinstal.</t>
  </si>
  <si>
    <t>Installation baru tercatat.</t>
  </si>
  <si>
    <t>Add Installation, Software Product selector, installation status, version, installed/detected dates</t>
  </si>
  <si>
    <t>Cek hanya role yang berwenang yang bisa menambah, dan data installation tampil di detail asset.</t>
  </si>
  <si>
    <t>Software installation tercatat pada asset yang benar.</t>
  </si>
  <si>
    <t>Asset Detail - Software Assignments</t>
  </si>
  <si>
    <t>Dari asset/software installation, buat assignment ke identity pengguna.</t>
  </si>
  <si>
    <t>Assignment dipakai untuk menjawab software tersebut digunakan oleh siapa, dengan peran apa, dan apakah masih aktif.</t>
  </si>
  <si>
    <t>Assignment baru tercatat.</t>
  </si>
  <si>
    <t>Add Assignment, Identity selector, Assignment Role, Assignment Status</t>
  </si>
  <si>
    <t>Cek relasi ke installation/asset tetap benar dan status assignment dapat dibedakan antara ACTIVE dan REVOKED.</t>
  </si>
  <si>
    <t>Jejak penggunaan software per user dapat dibaca dengan jelas.</t>
  </si>
  <si>
    <t>Assets List / Detail</t>
  </si>
  <si>
    <t>Buka Assets List atau Detail lalu cek tombol Transfer.</t>
  </si>
  <si>
    <t>Transfer action dipakai untuk memulai perpindahan asset lintas tenant atau target tenant sesuai workflow asset transfer request.</t>
  </si>
  <si>
    <t>Masuk ke flow Asset Transfer Request.</t>
  </si>
  <si>
    <t>Transfer button/link sesuai role</t>
  </si>
  <si>
    <t>Cek tombol hanya tampil untuk role berwenang dan tidak muncul pada role baca saja.</t>
  </si>
  <si>
    <t>Hanya role yang tepat yang bisa memulai transfer asset.</t>
  </si>
  <si>
    <t>Buka asset yang menjadi tanggung jawab custodian lalu review ownership aktif. Jika diizinkan, lakukan update custodian/location.</t>
  </si>
  <si>
    <t>Role ini dipakai untuk memastikan aset yang sedang dipegang benar-benar tercatat pada custodian dan lokasi yang sesuai.</t>
  </si>
  <si>
    <t>Ownership tervalidasi / diperbarui.</t>
  </si>
  <si>
    <t>Ownership aktif, history ownership</t>
  </si>
  <si>
    <t>Cek bahwa custodian dapat membaca asetnya, melihat history, dan hanya melakukan perubahan yang memang diizinkan role.</t>
  </si>
  <si>
    <t>Akuntabilitas aset per custodian dapat diverifikasi.</t>
  </si>
  <si>
    <t>Assets List / Asset Detail</t>
  </si>
  <si>
    <t>Cari asset lalu buka detailnya untuk review ownership, lifecycle, dan software panels tanpa melakukan perubahan.</t>
  </si>
  <si>
    <t>Alur auditor difokuskan pada pembacaan bukti dan kondisi current state, bukan pada perubahan data operasional.</t>
  </si>
  <si>
    <t>Asset detail terbuka dalam mode baca.</t>
  </si>
  <si>
    <t>Ownership, Lifecycle, Software panels bersifat read-only</t>
  </si>
  <si>
    <t>Cek bahwa data bisa dibaca lengkap tetapi tidak ada aksi create/update yang seharusnya tersembunyi.</t>
  </si>
  <si>
    <t>Auditor dapat menilai asset tanpa risiko mengubah data.</t>
  </si>
  <si>
    <t>Buka Documents lalu klik `New Document` untuk membuat draft dokumen baru.</t>
  </si>
  <si>
    <t>Fitur Documents dipakai untuk mengelola dokumen formal tenant, lengkap dengan versioning dan workflow review.</t>
  </si>
  <si>
    <t>Document Detail / Draft pertama terbentuk.</t>
  </si>
  <si>
    <t>Title, Document Type, Content, workflow actions</t>
  </si>
  <si>
    <t>Isi dokumen awal lalu cek status awalnya. Dari detail dokumen, user juga bisa lanjut submit for review, attach evidence, dan memantau versi.</t>
  </si>
  <si>
    <t>Draft dokumen berhasil dibuat dan siap masuk workflow review.</t>
  </si>
  <si>
    <t>Submit draft ke review, lalu lanjutkan approve/publish/archive sesuai kewenangan dan fase.</t>
  </si>
  <si>
    <t>Workflow dokumen dipakai agar dokumen resmi tidak langsung final tanpa proses yang terkontrol.</t>
  </si>
  <si>
    <t>Status dokumen berubah mengikuti workflow.</t>
  </si>
  <si>
    <t>Submit for review, approve, publish, archive, version history, evidence relation</t>
  </si>
  <si>
    <t>Cek bahwa urutan status benar, versi terdokumentasi, dan dokumen final tetap bisa dibaca ulang tanpa diedit sembarangan.</t>
  </si>
  <si>
    <t>Dokumen bergerak dari draft menuju status final secara tertib.</t>
  </si>
  <si>
    <t>Evidence Library / Attach Evidence</t>
  </si>
  <si>
    <t>Record target seperti Asset Detail</t>
  </si>
  <si>
    <t>Upload file bukti atau attach file yang sudah ada ke asset/dokumen/approval/contract.</t>
  </si>
  <si>
    <t>Evidence dipakai untuk menyediakan bukti pendukung formal, baik file maupun link, yang terhubung ke record bisnis.</t>
  </si>
  <si>
    <t>Record target menampilkan relation evidence.</t>
  </si>
  <si>
    <t>Upload file, metadata evidence, relation list, download/unlink</t>
  </si>
  <si>
    <t>Cek limit upload, keberhasilan attach, kemampuan download, dan bahwa unlink relation tidak menghapus library utama secara salah.</t>
  </si>
  <si>
    <t>Evidence tersimpan dan muncul di record target yang relevan.</t>
  </si>
  <si>
    <t>Event Detail / Payload View</t>
  </si>
  <si>
    <t>Buka modul Audit Events lalu filter berdasarkan modul, actor, atau tanggal, kemudian buka payload event.</t>
  </si>
  <si>
    <t>Audit Events dipakai untuk menelusuri jejak perubahan sistem dan mendukung audit/review.</t>
  </si>
  <si>
    <t>Tetap di modul Audit Events.</t>
  </si>
  <si>
    <t>Filter modul/actor/tanggal, payload JSON, read-only list</t>
  </si>
  <si>
    <t>Cek bahwa event mudah dilacak, payload terbaca, dan tidak ada action mutasi pada audit trail.</t>
  </si>
  <si>
    <t>Auditor dapat menelusuri perubahan secara read-only.</t>
  </si>
  <si>
    <t>Scope Version Detail</t>
  </si>
  <si>
    <t>Buat scope version draft, lalu submit, approve, dan activate versi baru.</t>
  </si>
  <si>
    <t>Governance Scope dipakai untuk menjaga versi ruang lingkup yang sah/aktif dalam tata kelola tenant.</t>
  </si>
  <si>
    <t>Scope version baru menjadi aktif.</t>
  </si>
  <si>
    <t>Draft scope, submit/approve/activate, histori versi</t>
  </si>
  <si>
    <t>Cek bahwa versi aktif lama tersupersede, histori tetap ada, dan urutan workflow tidak bisa dilompati.</t>
  </si>
  <si>
    <t>Versi scope baru aktif dan governance scope tetap tertelusuri.</t>
  </si>
  <si>
    <t>Context Detail</t>
  </si>
  <si>
    <t>Tambah entri context, isi kategori, priority, owner identity, status, dan review date.</t>
  </si>
  <si>
    <t>Context Register dipakai untuk mencatat isu/konteks internal-eksternal yang perlu dimonitor.</t>
  </si>
  <si>
    <t>Entri context tersimpan.</t>
  </si>
  <si>
    <t>Category, priority, owner, status, review date</t>
  </si>
  <si>
    <t>Cek bahwa entri mudah dicari kembali dan field monitoring membantu tindak lanjut.</t>
  </si>
  <si>
    <t>Context register terisi dan siap dipantau.</t>
  </si>
  <si>
    <t>Stakeholder Detail</t>
  </si>
  <si>
    <t>Tambah stakeholder, tentukan klasifikasi, priority, owner, dan review date.</t>
  </si>
  <si>
    <t>Stakeholder Register dipakai untuk memetakan pihak berkepentingan dan kebutuhan tindak lanjutnya.</t>
  </si>
  <si>
    <t>Entri stakeholder tersimpan.</t>
  </si>
  <si>
    <t>Category, owner, priority, review date</t>
  </si>
  <si>
    <t>Cek bahwa stakeholder mudah dipantau dan data owner/review date dapat dipakai follow-up.</t>
  </si>
  <si>
    <t>Stakeholder register lengkap dan siap dipakai untuk monitoring.</t>
  </si>
  <si>
    <t>Vendor Detail / New Vendor</t>
  </si>
  <si>
    <t>Buat vendor baru lalu gunakan vendor tersebut saat membuat contract.</t>
  </si>
  <si>
    <t>Vendor Registry dipakai sebagai master pemasok/publisher agar kontrak tidak dibuat dengan data vendor liar.</t>
  </si>
  <si>
    <t>Vendor baru muncul di dropdown contract.</t>
  </si>
  <si>
    <t>Vendor code, vendor type, status, contact info</t>
  </si>
  <si>
    <t>Cek code unik, status active/inactive, serta keterpakaiannya di create contract.</t>
  </si>
  <si>
    <t>Vendor tersimpan dan dapat dipakai di modul Contracts.</t>
  </si>
  <si>
    <t>Contracts List / New Contract</t>
  </si>
  <si>
    <t>Buat kontrak baru, pilih vendor aktif, isi tanggal kontrak, owner identity, dan notes.</t>
  </si>
  <si>
    <t>Contracts dipakai untuk menyimpan hubungan komersial formal dengan vendor, lalu menghubungkannya ke dokumen, asset, evidence, dan entitlement.</t>
  </si>
  <si>
    <t>Contract detail terbentuk.</t>
  </si>
  <si>
    <t>Header kontrak, health, vendor relation, document relation, evidence relation, asset relation</t>
  </si>
  <si>
    <t>Cek health contract, keterkaitan ke vendor, dan kemampuan attach document/evidence/asset dari detail kontrak.</t>
  </si>
  <si>
    <t>Kontrak tersimpan dan siap dipakai sebagai hub komersial.</t>
  </si>
  <si>
    <t>Software Product Registry</t>
  </si>
  <si>
    <t>Asset Detail / Contract Detail</t>
  </si>
  <si>
    <t>Buat software product, lalu pakai product itu pada installation dan entitlement.</t>
  </si>
  <si>
    <t>Software Product menjadi master domain software; dari sini turun ke installation, assignment, entitlement, dan allocation.</t>
  </si>
  <si>
    <t>Product aktif dapat dipakai di modul turunan.</t>
  </si>
  <si>
    <t>Product registry, installation, assignment, entitlement, allocation</t>
  </si>
  <si>
    <t>Cek bahwa product aktif muncul di selector installation dan entitlement, lalu alokasinya dapat ditelusuri.</t>
  </si>
  <si>
    <t>Domain software terhubung dari master product sampai pemakaian aktual.</t>
  </si>
  <si>
    <t>Transfer Request List / New</t>
  </si>
  <si>
    <t>Preview asset dan target tenant, buat draft transfer, lalu submit request.</t>
  </si>
  <si>
    <t>Transfer Request dipakai ketika asset perlu dipindahkan lintas tenant secara terkontrol, bukan dipindahkan manual tanpa jejak.</t>
  </si>
  <si>
    <t>Request masuk ke antrian keputusan.</t>
  </si>
  <si>
    <t>Preview, target tenant selector, submit, status request</t>
  </si>
  <si>
    <t>Cek bahwa preview menampilkan asset/tenant target dengan benar dan bahwa request masuk ke status yang tepat setelah submit.</t>
  </si>
  <si>
    <t>Permintaan transfer tercatat rapi dan siap diputuskan.</t>
  </si>
  <si>
    <t>Eksekusi hasil keputusan</t>
  </si>
  <si>
    <t>Buka transfer request yang sudah diputuskan lalu approve/reject atau execute sesuai tahapnya.</t>
  </si>
  <si>
    <t>SUPERADMIN/role berwenang mengendalikan keputusan dan pelaksanaan transfer agar perpindahan asset tetap aman dan tenant-scoped.</t>
  </si>
  <si>
    <t>Asset berpindah atau request final sesuai keputusan.</t>
  </si>
  <si>
    <t>Approve/reject, execute/cancel, audit trail transfer</t>
  </si>
  <si>
    <t>Cek bahwa asset muncul di tenant target setelah execute dan request final tidak bisa dimutasi sembarangan.</t>
  </si>
  <si>
    <t>Perpindahan asset lintas tenant berjalan sesuai workflow.</t>
  </si>
  <si>
    <t>Buat KPI baru, tentukan target/threshold/baseline/source type, lalu input measurement per periode.</t>
  </si>
  <si>
    <t>KPI dipakai untuk memantau performa governance/operasional tenant secara periodik.</t>
  </si>
  <si>
    <t>KPI muncul di scorecard dengan status/trend.</t>
  </si>
  <si>
    <t>KPI definition, measurement input, trend, scorecard status</t>
  </si>
  <si>
    <t>Cek bahwa status KPI mengikuti hasil aktual terhadap target dan trend antar periode dapat dibaca.</t>
  </si>
  <si>
    <t>KPI dapat didefinisikan dan dimonitor dari library ke scorecard.</t>
  </si>
  <si>
    <t>Internal Audit List / New</t>
  </si>
  <si>
    <t>Buat audit baru, tambah member, checklist, dan findings, lalu start audit.</t>
  </si>
  <si>
    <t>Internal Audits dipakai untuk menjalankan audit internal terstruktur, dari register audit sampai temuan dan penutupannya.</t>
  </si>
  <si>
    <t>Audit masuk fase aktif atau tetap draft sesuai kelengkapan data.</t>
  </si>
  <si>
    <t>Members, checklist sections/items, results, findings, lifecycle actions</t>
  </si>
  <si>
    <t>Cek bahwa anggota audit, checklist, dan findings saling terkait dan lifecycle audit mengikuti fase kerja yang benar.</t>
  </si>
  <si>
    <t>Audit internal siap dijalankan secara formal.</t>
  </si>
  <si>
    <t>Tetap di audit detail</t>
  </si>
  <si>
    <t>Review checklist, hasil, dan findings lalu verifikasi bahwa semua area dapat dibaca tanpa write access.</t>
  </si>
  <si>
    <t>Dari sudut pandang auditor, modul ini dipakai untuk meninjau status audit, bukti pemeriksaan, dan temuan yang ada.</t>
  </si>
  <si>
    <t>Tetap di modul audit.</t>
  </si>
  <si>
    <t>Checklist results, findings status, read-only detail</t>
  </si>
  <si>
    <t>Cek bahwa data audit internal bisa dibaca lengkap, tetapi auditor tidak mengubah data eksekusi audit secara sembarangan.</t>
  </si>
  <si>
    <t>Auditor dapat melakukan review tanpa mengganggu proses audit.</t>
  </si>
  <si>
    <t>Management Reviews List / New</t>
  </si>
  <si>
    <t>Buat sesi management review, isi overview, catat decisions, lalu buat action items.</t>
  </si>
  <si>
    <t>Management Review dipakai untuk mendokumentasikan hasil review manajemen dan tindak lanjutnya.</t>
  </si>
  <si>
    <t>Sesi review terbentuk dan siap dipantau.</t>
  </si>
  <si>
    <t>Overview, decisions, action items, tracker, complete/cancel</t>
  </si>
  <si>
    <t>Cek bahwa keputusan dan action item tercatat jelas, memiliki owner/due date, dan dapat dipantau progresnya.</t>
  </si>
  <si>
    <t>Sesi management review terdokumentasi end-to-end.</t>
  </si>
  <si>
    <t>Asset Coverage / Asset Mapping</t>
  </si>
  <si>
    <t>Tetap di report atau export</t>
  </si>
  <si>
    <t>Buka report, terapkan filter, lalu export Excel bila perlu.</t>
  </si>
  <si>
    <t>Reports dipakai untuk membaca coverage, mapping, dan data referensi audit tanpa mengubah data sumber.</t>
  </si>
  <si>
    <t>File export terbentuk atau report terfilter.</t>
  </si>
  <si>
    <t>Coverage filters, mapping, export Excel, read-only summary</t>
  </si>
  <si>
    <t>Cek kesesuaian angka summary dengan list hasil filter serta konsistensi file export.</t>
  </si>
  <si>
    <t>Report membantu review dan audit tanpa aksi mutasi data.</t>
  </si>
  <si>
    <t>Admin Users / Master Data</t>
  </si>
  <si>
    <t>Modul operasional yang memakai master</t>
  </si>
  <si>
    <t>Kelola users, departments, locations, identities, asset types, dan lifecycle states tenant.</t>
  </si>
  <si>
    <t>Admin Master Data dipakai untuk memelihara referensi tenant agar modul operasional dapat berjalan konsisten.</t>
  </si>
  <si>
    <t>Master baru dapat dipakai oleh modul operasional.</t>
  </si>
  <si>
    <t>Users, departments, locations, identities, asset types, lifecycle states</t>
  </si>
  <si>
    <t>Cek bahwa master yang diubah langsung berdampak ke selector/flow operasional seperti assets, ownership, dan software assignment.</t>
  </si>
  <si>
    <t>Tenant master data tetap rapi dan reusable.</t>
  </si>
  <si>
    <t>Tenant admin/user management dan monitoring kontrak</t>
  </si>
  <si>
    <t>Buat tenant baru, periksa health kontrak, lalu kelola admin user tenant dari konteks superadmin.</t>
  </si>
  <si>
    <t>Modul platform ini dipakai untuk mengelola tenant SaaS, status langganan, dan akses administrasi lintas tenant.</t>
  </si>
  <si>
    <t>Tenant siap dipakai dan health subscription dapat dipantau.</t>
  </si>
  <si>
    <t>Create tenant, contract dates, subscription notes, user management by selected tenant</t>
  </si>
  <si>
    <t>Cek bahwa tenant baru mendapatkan baseline data, health berubah mengikuti tanggal kontrak, dan non-superadmin tidak dapat masuk area ini.</t>
  </si>
  <si>
    <t>SUPERADMIN dapat mengelola platform tenant secara penuh.</t>
  </si>
  <si>
    <t>TENANT_ADMIN / ITAM_MANAGER / SECURITY_OFFICER</t>
  </si>
  <si>
    <t>Akses route `/capa`</t>
  </si>
  <si>
    <t>CAPA List</t>
  </si>
  <si>
    <t>Buka modul CAPA melalui route `/capa` atau menu yang tersedia pada implementasi UI Anda.</t>
  </si>
  <si>
    <t>CAPA List dipakai untuk memantau seluruh kasus CAPA, melihat ringkasan total/open/overdue/closed, dan memfilter antrian kasus yang harus ditindaklanjuti.</t>
  </si>
  <si>
    <t>Halaman list CAPA terbuka.</t>
  </si>
  <si>
    <t>Summary cards, search, filter status/source/severity, tabel list</t>
  </si>
  <si>
    <t>Cek summary cards, filter, badge severity/status, owner, due date, overdue badge, dan tombol Open Detail.</t>
  </si>
  <si>
    <t>User dapat masuk ke workspace CAPA dan membaca backlog CAPA tenant.</t>
  </si>
  <si>
    <t>Create CAPA</t>
  </si>
  <si>
    <t>Isi form Create CAPA pada sisi kanan halaman dengan capa_code, title, source_type, source_id/source_label bila perlu, severity, owner, due_date, nonconformity_summary, dan notes.</t>
  </si>
  <si>
    <t>Form Create CAPA dipakai untuk membuka kasus CAPA baru dari audit finding, management review action item, atau input manual.</t>
  </si>
  <si>
    <t>Detail CAPA baru terbuka.</t>
  </si>
  <si>
    <t>Header detail, basic details, stage cards</t>
  </si>
  <si>
    <t>Pastikan CAPA dibuat dengan status OPEN, opened_at terisi, dan data awal tampil di detail.</t>
  </si>
  <si>
    <t>CAPA baru tersimpan dan user diarahkan ke detail CAPA.</t>
  </si>
  <si>
    <t>CAPA Detail</t>
  </si>
  <si>
    <t>Tetap di CAPA Detail</t>
  </si>
  <si>
    <t>Edit basic details seperti title, severity, owner, due date, source reference, nonconformity summary, dan notes selama CAPA masih di tahap yang memperbolehkan edit struktur.</t>
  </si>
  <si>
    <t>Basic details dipakai untuk menjaga metadata kasus tetap akurat sebelum CAPA dikunci pada tahap yang lebih lanjut.</t>
  </si>
  <si>
    <t>Tetap di CAPA Detail.</t>
  </si>
  <si>
    <t>Form Basic Details</t>
  </si>
  <si>
    <t>Cek field metadata tersimpan, updated_at berubah, dan edit ditolak saat status sudah melewati batas edit struktur.</t>
  </si>
  <si>
    <t>Metadata CAPA terpelihara dengan benar dan sesuai aturan stage.</t>
  </si>
  <si>
    <t>https://raw.githubusercontent.com/MuhamadRamdhani/ITAM/main/apps/web/app/capa/[id]/CapaDetailClient.tsx</t>
  </si>
  <si>
    <t>Stage Root Cause</t>
  </si>
  <si>
    <t>Isi root cause summary lalu simpan.</t>
  </si>
  <si>
    <t>Stage Root Cause dipakai untuk merekam analisis akar masalah sebelum corrective action dijalankan.</t>
  </si>
  <si>
    <t>Status CAPA maju ke ROOT_CAUSE.</t>
  </si>
  <si>
    <t>Root Cause card, timestamp root_caused_at</t>
  </si>
  <si>
    <t>Cek ringkasan root cause tampil, timestamp terisi, dan status berubah ke ROOT_CAUSE.</t>
  </si>
  <si>
    <t>Analisis akar masalah terekam dan CAPA maju ke tahap berikutnya.</t>
  </si>
  <si>
    <t>Stage Corrective Action</t>
  </si>
  <si>
    <t>Isi corrective action summary lalu simpan setelah root cause tersedia.</t>
  </si>
  <si>
    <t>Corrective Action dipakai untuk mencatat tindakan yang memperbaiki masalah saat ini.</t>
  </si>
  <si>
    <t>Status CAPA maju ke CORRECTIVE_ACTION.</t>
  </si>
  <si>
    <t>Corrective Action card, timestamp corrective_action_at</t>
  </si>
  <si>
    <t>Cek corrective action hanya bisa disimpan setelah root cause ada dan status berubah sesuai.</t>
  </si>
  <si>
    <t>Tindakan korektif terekam dan CAPA melanjutkan alur.</t>
  </si>
  <si>
    <t>Stage Preventive Action</t>
  </si>
  <si>
    <t>Isi preventive action summary lalu simpan setelah corrective action tersedia.</t>
  </si>
  <si>
    <t>Preventive Action dipakai untuk mencegah masalah yang sama terulang kembali.</t>
  </si>
  <si>
    <t>Status CAPA maju ke PREVENTIVE_ACTION.</t>
  </si>
  <si>
    <t>Preventive Action card, timestamp preventive_action_at</t>
  </si>
  <si>
    <t>Cek preventive action hanya bisa disimpan setelah corrective action ada.</t>
  </si>
  <si>
    <t>Tindakan preventif terekam dan kasus siap diverifikasi.</t>
  </si>
  <si>
    <t>Verification &amp; Closure</t>
  </si>
  <si>
    <t>Isi verification summary, lalu lanjutkan closure notes dan klik Close CAPA.</t>
  </si>
  <si>
    <t>Verification dipakai untuk mencatat bukti bahwa tindakan sudah efektif. Closure dipakai untuk menutup kasus setelah verifikasi selesai.</t>
  </si>
  <si>
    <t>Status CAPA berubah ke VERIFICATION lalu CLOSED.</t>
  </si>
  <si>
    <t>Verification card, Closure box, timestamps verified_at/closed_at</t>
  </si>
  <si>
    <t>Cek verification wajib ada sebelum close, closed_at terisi, dan setelah closed CAPA menjadi read-only.</t>
  </si>
  <si>
    <t>Kasus CAPA selesai secara formal dan audit-ready.</t>
  </si>
  <si>
    <t>CAPA List dan CAPA Detail</t>
  </si>
  <si>
    <t>Tetap di List/Detail</t>
  </si>
  <si>
    <t>Buka list dan detail CAPA untuk review bukti, stage, owner, due date, dan keterlambatan. Jangan melakukan create atau stage action.</t>
  </si>
  <si>
    <t>Untuk AUDITOR, modul CAPA dipakai terutama sebagai area review read-only atas status tindak lanjut nonconformity.</t>
  </si>
  <si>
    <t>Tetap di list/detail.</t>
  </si>
  <si>
    <t>Summary cards, tabel list, header detail, seluruh ringkasan stage</t>
  </si>
  <si>
    <t>Cek data dapat dibaca, namun tindakan create/update/stage/close/cancel ditolak bila dicoba.</t>
  </si>
  <si>
    <t>AUDITOR dapat melakukan review CAPA tanpa mengubah data.</t>
  </si>
  <si>
    <t>Isi cancel reason bila kasus harus dibatalkan, lalu klik Cancel CAPA.</t>
  </si>
  <si>
    <t>Cancel dipakai bila kasus tidak lagi relevan atau perlu dihentikan secara resmi.</t>
  </si>
  <si>
    <t>Status CAPA berubah ke CANCELLED.</t>
  </si>
  <si>
    <t>Cancel box, notes/cancel reason, cancelled_at</t>
  </si>
  <si>
    <t>Cek cancel hanya tidak boleh dilakukan pada CAPA CLOSED dan pembatalan menambah jejak catatan.</t>
  </si>
  <si>
    <t>Kasus CAPA dibatalkan secara resmi dengan jejak audit yang jelas.</t>
  </si>
  <si>
    <t>ITAM - Matriks Role vs Modul</t>
  </si>
  <si>
    <t>Gunakan sheet ini untuk melihat siapa yang punya hak baca/tulis/special action di setiap modul. Nilai mengikuti ringkasan role yang terlihat di repo saat ini.</t>
  </si>
  <si>
    <t>Modul / Area</t>
  </si>
  <si>
    <t>Login / Auth</t>
  </si>
  <si>
    <t>P</t>
  </si>
  <si>
    <t>Public login; sesudah itu tenant context berlaku</t>
  </si>
  <si>
    <t>-</t>
  </si>
  <si>
    <t>Launcher mengikuti role user</t>
  </si>
  <si>
    <t>P/W</t>
  </si>
  <si>
    <t>P/W(S)</t>
  </si>
  <si>
    <t>Create/edit butuh role operasional; custodian punya special action tertentu</t>
  </si>
  <si>
    <t>Decision dibatasi role tertentu</t>
  </si>
  <si>
    <t>Workflow draft → review → approve → publish</t>
  </si>
  <si>
    <t>Upload dan attach dibatasi role operasional</t>
  </si>
  <si>
    <t>Read-only</t>
  </si>
  <si>
    <t>Scope version workflow</t>
  </si>
  <si>
    <t>Register context</t>
  </si>
  <si>
    <t>Register stakeholder</t>
  </si>
  <si>
    <t>Vendor registry tenant-scoped</t>
  </si>
  <si>
    <t>Detail contract punya relasi docs/assets/evidence</t>
  </si>
  <si>
    <t>Registry product software</t>
  </si>
  <si>
    <t>Instalasi software pada asset</t>
  </si>
  <si>
    <t>Assignment software ke identity</t>
  </si>
  <si>
    <t>Entitlement per contract</t>
  </si>
  <si>
    <t>Entitlement Allocations</t>
  </si>
  <si>
    <t>Alokasi lisensi ke penggunaan nyata</t>
  </si>
  <si>
    <t>Transfer lintas tenant terkontrol</t>
  </si>
  <si>
    <t>KPI definition dan periodic scorecard</t>
  </si>
  <si>
    <t>Plan, checklist, finding, completion</t>
  </si>
  <si>
    <t>Decisions, action items, tracker</t>
  </si>
  <si>
    <t>Read-only; coverage, mapping, export</t>
  </si>
  <si>
    <t>SUPERADMIN bisa pilih tenant target; reserved role hanya superadmin</t>
  </si>
  <si>
    <t>Admin Departments</t>
  </si>
  <si>
    <t>Master data tenant</t>
  </si>
  <si>
    <t>Admin Locations</t>
  </si>
  <si>
    <t>Admin Identities</t>
  </si>
  <si>
    <t>Admin Asset Types</t>
  </si>
  <si>
    <t>Hanya label yang editable</t>
  </si>
  <si>
    <t>Admin Lifecycle States</t>
  </si>
  <si>
    <t>Platform tenant management</t>
  </si>
  <si>
    <t>View role mencakup AUDITOR; create/update/stage/close/cancel hanya role operasional.</t>
  </si>
  <si>
    <t>Skenario - Auth and Dashboard</t>
  </si>
  <si>
    <t>Skenario - Assets</t>
  </si>
  <si>
    <t>Skenario - Approvals</t>
  </si>
  <si>
    <t>Skenario - Documents</t>
  </si>
  <si>
    <t>Skenario - Evidence</t>
  </si>
  <si>
    <t>Skenario - Audit Events</t>
  </si>
  <si>
    <t>Skenario - Governance</t>
  </si>
  <si>
    <t>Skenario - Vendors</t>
  </si>
  <si>
    <t>Skenario - Contracts</t>
  </si>
  <si>
    <t>Skenario - Software Products</t>
  </si>
  <si>
    <t>Skenario - Asset Transfer Requests</t>
  </si>
  <si>
    <t>Skenario - KPI Library and Scorecard</t>
  </si>
  <si>
    <t>Skenario - Internal Audits</t>
  </si>
  <si>
    <t>Skenario - Management Reviews</t>
  </si>
  <si>
    <t>Skenario - CAPA</t>
  </si>
  <si>
    <t>Skenario - Reports</t>
  </si>
  <si>
    <t>Skenario - Admin Master Data</t>
  </si>
  <si>
    <t>Skenario - Superadmin Tenants</t>
  </si>
  <si>
    <t>V</t>
  </si>
  <si>
    <t xml:space="preserve"> 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</si>
</sst>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name val="Calibri"/>
    </font>
    <font>
      <i/>
      <sz val="10"/>
      <color rgb="FF666666"/>
      <name val="Calibri"/>
    </font>
    <font>
      <b/>
      <sz val="11"/>
      <name val="Calibri"/>
    </font>
    <font>
      <b/>
      <sz val="12"/>
      <name val="Calibri"/>
    </font>
    <font>
      <b/>
      <sz val="11"/>
      <color rgb="FFFFFFFF"/>
      <name val="Calibri"/>
    </font>
    <font>
      <sz val="11"/>
      <color rgb="FF0000FF"/>
      <name val="Calibri"/>
    </font>
    <font>
      <sz val="11"/>
      <color rgb="FF7030A0"/>
      <name val="Calibri"/>
    </font>
  </fonts>
  <fills count="8">
    <fill>
      <patternFill patternType="none"/>
    </fill>
    <fill>
      <patternFill patternType="gray125"/>
    </fill>
    <fill>
      <patternFill patternType="solid">
        <fgColor rgb="FFDDEBF7"/>
      </patternFill>
    </fill>
    <fill>
      <patternFill patternType="solid">
        <fgColor rgb="FFF3F7FB"/>
      </patternFill>
    </fill>
    <fill>
      <patternFill patternType="solid">
        <fgColor rgb="FFD9EAF7"/>
      </patternFill>
    </fill>
    <fill>
      <patternFill patternType="solid">
        <fgColor rgb="FFE4DFEC"/>
      </patternFill>
    </fill>
    <fill>
      <patternFill patternType="solid">
        <fgColor rgb="FFFFF2CC"/>
      </patternFill>
    </fill>
    <fill>
      <patternFill patternType="solid">
        <fgColor rgb="FF1F4E78"/>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9E9E9E"/>
      </left>
      <right style="thin">
        <color rgb="FF9E9E9E"/>
      </right>
      <top style="thin">
        <color rgb="FF9E9E9E"/>
      </top>
      <bottom style="thin">
        <color rgb="FF9E9E9E"/>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22">
    <xf numFmtId="0" fontId="0" fillId="0" borderId="0" xfId="0"/>
    <xf numFmtId="0" fontId="0" fillId="0" borderId="1" xfId="0" applyBorder="1" applyAlignment="1">
      <alignment vertical="top" wrapText="1"/>
    </xf>
    <xf numFmtId="0" fontId="4" fillId="0" borderId="0" xfId="0" applyFont="1"/>
    <xf numFmtId="0" fontId="3" fillId="5" borderId="1" xfId="0" applyFont="1" applyFill="1" applyBorder="1"/>
    <xf numFmtId="0" fontId="0" fillId="6" borderId="1" xfId="0" applyFill="1" applyBorder="1"/>
    <xf numFmtId="0" fontId="5" fillId="7" borderId="1" xfId="0" applyFont="1" applyFill="1" applyBorder="1" applyAlignment="1">
      <alignment horizontal="center" vertical="center" wrapText="1"/>
    </xf>
    <xf numFmtId="0" fontId="7" fillId="0" borderId="1" xfId="0" applyFont="1" applyBorder="1" applyAlignment="1">
      <alignment vertical="top" wrapText="1"/>
    </xf>
    <xf numFmtId="0" fontId="6" fillId="0" borderId="1" xfId="0" applyFont="1" applyBorder="1" applyAlignment="1">
      <alignment vertical="top" wrapText="1"/>
    </xf>
    <xf numFmtId="0" fontId="0" fillId="6" borderId="1" xfId="0" applyFill="1" applyBorder="1" applyAlignment="1">
      <alignment vertical="top" wrapText="1"/>
    </xf>
    <xf numFmtId="0" fontId="0" fillId="0" borderId="0" xfId="0" applyAlignment="1">
      <alignment vertical="top" wrapText="1"/>
    </xf>
    <xf numFmtId="0" fontId="3" fillId="4" borderId="1" xfId="0" applyFont="1" applyFill="1" applyBorder="1" applyAlignment="1">
      <alignment vertical="top" wrapText="1"/>
    </xf>
    <xf numFmtId="0" fontId="0" fillId="0" borderId="2" xfId="0" applyBorder="1" applyAlignment="1">
      <alignment horizontal="left" vertical="center"/>
    </xf>
    <xf numFmtId="0" fontId="0" fillId="0" borderId="2" xfId="0" applyBorder="1" applyAlignment="1">
      <alignment horizontal="center" vertical="center"/>
    </xf>
    <xf numFmtId="0" fontId="0" fillId="0" borderId="2" xfId="0" applyBorder="1" applyAlignment="1">
      <alignment vertical="top" wrapText="1"/>
    </xf>
    <xf numFmtId="0" fontId="0" fillId="6" borderId="1" xfId="0" applyFill="1" applyBorder="1" applyAlignment="1">
      <alignment horizontal="center" vertical="top" wrapText="1"/>
    </xf>
    <xf numFmtId="0" fontId="2" fillId="3" borderId="0" xfId="0" applyFont="1" applyFill="1" applyAlignment="1">
      <alignment vertical="top" wrapText="1"/>
    </xf>
    <xf numFmtId="0" fontId="0" fillId="0" borderId="0" xfId="0"/>
    <xf numFmtId="0" fontId="1" fillId="2" borderId="0" xfId="0" applyFont="1" applyFill="1" applyAlignment="1">
      <alignment vertical="center" wrapText="1"/>
    </xf>
    <xf numFmtId="0" fontId="1" fillId="2" borderId="0" xfId="0" applyFont="1" applyFill="1" applyAlignment="1">
      <alignment vertical="top" wrapText="1"/>
    </xf>
    <xf numFmtId="0" fontId="5" fillId="7" borderId="2" xfId="0" applyFont="1" applyFill="1" applyBorder="1" applyAlignment="1">
      <alignment horizontal="center"/>
    </xf>
    <xf numFmtId="0" fontId="0" fillId="0" borderId="3" xfId="0" applyBorder="1"/>
    <xf numFmtId="0" fontId="0" fillId="0" borderId="4"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
  <sheetViews>
    <sheetView showGridLines="0" workbookViewId="0"/>
  </sheetViews>
  <sheetFormatPr defaultRowHeight="14.4" x14ac:dyDescent="0.3"/>
  <cols>
    <col min="1" max="1" width="18" customWidth="1"/>
    <col min="2" max="2" width="95" customWidth="1"/>
    <col min="4" max="4" width="18" customWidth="1"/>
    <col min="5" max="5" width="12" customWidth="1"/>
  </cols>
  <sheetData>
    <row r="1" spans="1:8" ht="24" customHeight="1" x14ac:dyDescent="0.3">
      <c r="A1" s="18" t="s">
        <v>0</v>
      </c>
      <c r="B1" s="16"/>
      <c r="C1" s="16"/>
      <c r="D1" s="16"/>
      <c r="E1" s="16"/>
      <c r="F1" s="16"/>
      <c r="G1" s="16"/>
      <c r="H1" s="16"/>
    </row>
    <row r="2" spans="1:8" ht="25.95" customHeight="1" x14ac:dyDescent="0.3">
      <c r="A2" s="15" t="s">
        <v>1</v>
      </c>
      <c r="B2" s="16"/>
      <c r="C2" s="16"/>
      <c r="D2" s="16"/>
      <c r="E2" s="16"/>
      <c r="F2" s="16"/>
      <c r="G2" s="16"/>
      <c r="H2" s="16"/>
    </row>
    <row r="3" spans="1:8" ht="25.95" customHeight="1" x14ac:dyDescent="0.3">
      <c r="A3" s="9"/>
      <c r="B3" s="9"/>
    </row>
    <row r="4" spans="1:8" ht="25.95" customHeight="1" x14ac:dyDescent="0.3">
      <c r="A4" s="10" t="s">
        <v>2</v>
      </c>
      <c r="B4" s="1" t="s">
        <v>3</v>
      </c>
      <c r="D4" s="2" t="s">
        <v>4</v>
      </c>
    </row>
    <row r="5" spans="1:8" ht="25.95" customHeight="1" x14ac:dyDescent="0.3">
      <c r="A5" s="10" t="s">
        <v>5</v>
      </c>
      <c r="B5" s="1" t="s">
        <v>6</v>
      </c>
      <c r="D5" s="3" t="s">
        <v>7</v>
      </c>
      <c r="E5" s="4">
        <f>COUNTIF(Semua_Skenario!$A:$A,"&lt;&gt;")-3</f>
        <v>243</v>
      </c>
    </row>
    <row r="6" spans="1:8" ht="25.95" customHeight="1" x14ac:dyDescent="0.3">
      <c r="A6" s="10" t="s">
        <v>8</v>
      </c>
      <c r="B6" s="1" t="s">
        <v>9</v>
      </c>
      <c r="D6" s="3" t="s">
        <v>10</v>
      </c>
      <c r="E6" s="4">
        <f>COUNTIF(Semua_Skenario!$H:$H,"High")</f>
        <v>144</v>
      </c>
    </row>
    <row r="7" spans="1:8" ht="25.95" customHeight="1" x14ac:dyDescent="0.3">
      <c r="A7" s="10" t="s">
        <v>11</v>
      </c>
      <c r="B7" s="1" t="s">
        <v>12</v>
      </c>
      <c r="D7" s="3" t="s">
        <v>13</v>
      </c>
      <c r="E7" s="4">
        <f>COUNTIF(Semua_Skenario!$H:$H,"Medium")</f>
        <v>94</v>
      </c>
    </row>
    <row r="8" spans="1:8" ht="25.95" customHeight="1" x14ac:dyDescent="0.3">
      <c r="A8" s="10" t="s">
        <v>14</v>
      </c>
      <c r="B8" s="1" t="s">
        <v>15</v>
      </c>
      <c r="D8" s="3" t="s">
        <v>16</v>
      </c>
      <c r="E8" s="4">
        <f>COUNTIF(Semua_Skenario!$M:$M,"Pass")</f>
        <v>0</v>
      </c>
    </row>
    <row r="9" spans="1:8" ht="25.95" customHeight="1" x14ac:dyDescent="0.3">
      <c r="A9" s="10" t="s">
        <v>17</v>
      </c>
      <c r="B9" s="1" t="s">
        <v>18</v>
      </c>
      <c r="D9" s="3" t="s">
        <v>19</v>
      </c>
      <c r="E9" s="4">
        <f>COUNTIF(Semua_Skenario!$M:$M,"Fail")</f>
        <v>0</v>
      </c>
    </row>
    <row r="10" spans="1:8" ht="25.95" customHeight="1" x14ac:dyDescent="0.3">
      <c r="A10" s="9" t="s">
        <v>20</v>
      </c>
      <c r="B10" s="9" t="s">
        <v>21</v>
      </c>
      <c r="D10" s="3" t="s">
        <v>22</v>
      </c>
      <c r="E10" s="4">
        <f>COUNTIF(Semua_Skenario!$M:$M,"Blocked")</f>
        <v>0</v>
      </c>
    </row>
  </sheetData>
  <mergeCells count="2">
    <mergeCell ref="A2:H2"/>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showGridLines="0" workbookViewId="0"/>
  </sheetViews>
  <sheetFormatPr defaultRowHeight="14.4" x14ac:dyDescent="0.3"/>
  <sheetData>
    <row r="1" spans="1:3" x14ac:dyDescent="0.3">
      <c r="A1" t="s">
        <v>23</v>
      </c>
      <c r="B1" t="s">
        <v>24</v>
      </c>
      <c r="C1" t="s">
        <v>25</v>
      </c>
    </row>
    <row r="2" spans="1:3" x14ac:dyDescent="0.3">
      <c r="A2" t="s">
        <v>26</v>
      </c>
      <c r="B2" t="s">
        <v>27</v>
      </c>
      <c r="C2" t="s">
        <v>28</v>
      </c>
    </row>
    <row r="3" spans="1:3" x14ac:dyDescent="0.3">
      <c r="A3" t="s">
        <v>16</v>
      </c>
      <c r="B3" t="s">
        <v>29</v>
      </c>
      <c r="C3" t="s">
        <v>30</v>
      </c>
    </row>
    <row r="4" spans="1:3" x14ac:dyDescent="0.3">
      <c r="A4" t="s">
        <v>19</v>
      </c>
      <c r="C4" t="s">
        <v>31</v>
      </c>
    </row>
    <row r="5" spans="1:3" x14ac:dyDescent="0.3">
      <c r="A5" t="s">
        <v>22</v>
      </c>
    </row>
    <row r="6" spans="1:3" x14ac:dyDescent="0.3">
      <c r="A6"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47"/>
  <sheetViews>
    <sheetView showGridLines="0" tabSelected="1" topLeftCell="J91" workbookViewId="0">
      <selection activeCell="N94" sqref="N94:N97"/>
    </sheetView>
  </sheetViews>
  <sheetFormatPr defaultRowHeight="14.4" x14ac:dyDescent="0.3"/>
  <cols>
    <col min="1" max="1" width="14" customWidth="1"/>
    <col min="2" max="2" width="16" customWidth="1"/>
    <col min="3" max="3" width="26" customWidth="1"/>
    <col min="4" max="4" width="24" customWidth="1"/>
    <col min="5" max="5" width="36" customWidth="1"/>
    <col min="6" max="6" width="14" customWidth="1"/>
    <col min="7" max="7" width="24" customWidth="1"/>
    <col min="8" max="8" width="10" customWidth="1"/>
    <col min="9" max="9" width="30" customWidth="1"/>
    <col min="10" max="10" width="52" customWidth="1"/>
    <col min="11" max="11" width="46" customWidth="1"/>
    <col min="12" max="12" width="24" customWidth="1"/>
    <col min="13" max="13" width="14" customWidth="1"/>
    <col min="14" max="15" width="28" customWidth="1"/>
    <col min="16" max="16" width="38" customWidth="1"/>
  </cols>
  <sheetData>
    <row r="1" spans="1:16" ht="24" customHeight="1" x14ac:dyDescent="0.3">
      <c r="A1" s="17" t="s">
        <v>33</v>
      </c>
      <c r="B1" s="16"/>
      <c r="C1" s="16"/>
      <c r="D1" s="16"/>
      <c r="E1" s="16"/>
      <c r="F1" s="16"/>
      <c r="G1" s="16"/>
      <c r="H1" s="16"/>
    </row>
    <row r="2" spans="1:16" ht="36" customHeight="1" x14ac:dyDescent="0.3">
      <c r="A2" s="15" t="s">
        <v>34</v>
      </c>
      <c r="B2" s="16"/>
      <c r="C2" s="16"/>
      <c r="D2" s="16"/>
      <c r="E2" s="16"/>
      <c r="F2" s="16"/>
      <c r="G2" s="16"/>
      <c r="H2" s="16"/>
    </row>
    <row r="4" spans="1:16" x14ac:dyDescent="0.3">
      <c r="A4" s="5" t="s">
        <v>35</v>
      </c>
      <c r="B4" s="5" t="s">
        <v>36</v>
      </c>
      <c r="C4" s="5" t="s">
        <v>37</v>
      </c>
      <c r="D4" s="5" t="s">
        <v>38</v>
      </c>
      <c r="E4" s="5" t="s">
        <v>39</v>
      </c>
      <c r="F4" s="5" t="s">
        <v>40</v>
      </c>
      <c r="G4" s="5" t="s">
        <v>41</v>
      </c>
      <c r="H4" s="5" t="s">
        <v>42</v>
      </c>
      <c r="I4" s="5" t="s">
        <v>43</v>
      </c>
      <c r="J4" s="5" t="s">
        <v>44</v>
      </c>
      <c r="K4" s="5" t="s">
        <v>45</v>
      </c>
      <c r="L4" s="5" t="s">
        <v>46</v>
      </c>
      <c r="M4" s="5" t="s">
        <v>17</v>
      </c>
      <c r="N4" s="5" t="s">
        <v>47</v>
      </c>
      <c r="O4" s="5" t="s">
        <v>20</v>
      </c>
      <c r="P4" s="5" t="s">
        <v>48</v>
      </c>
    </row>
    <row r="5" spans="1:16" ht="72" x14ac:dyDescent="0.3">
      <c r="A5" s="1" t="s">
        <v>49</v>
      </c>
      <c r="B5" s="1" t="s">
        <v>50</v>
      </c>
      <c r="C5" s="1" t="s">
        <v>51</v>
      </c>
      <c r="D5" s="1" t="s">
        <v>52</v>
      </c>
      <c r="E5" s="1" t="s">
        <v>53</v>
      </c>
      <c r="F5" s="6" t="s">
        <v>25</v>
      </c>
      <c r="G5" s="1" t="s">
        <v>54</v>
      </c>
      <c r="H5" s="7" t="s">
        <v>24</v>
      </c>
      <c r="I5" s="1" t="s">
        <v>55</v>
      </c>
      <c r="J5" s="1" t="s">
        <v>56</v>
      </c>
      <c r="K5" s="1" t="s">
        <v>57</v>
      </c>
      <c r="L5" s="1" t="s">
        <v>58</v>
      </c>
      <c r="M5" s="8" t="s">
        <v>23</v>
      </c>
      <c r="N5" s="14" t="s">
        <v>2272</v>
      </c>
      <c r="O5" s="1"/>
      <c r="P5" s="1" t="s">
        <v>60</v>
      </c>
    </row>
    <row r="6" spans="1:16" ht="57.6" x14ac:dyDescent="0.3">
      <c r="A6" s="1" t="s">
        <v>61</v>
      </c>
      <c r="B6" s="1" t="s">
        <v>50</v>
      </c>
      <c r="C6" s="1" t="s">
        <v>51</v>
      </c>
      <c r="D6" s="1" t="s">
        <v>52</v>
      </c>
      <c r="E6" s="1" t="s">
        <v>62</v>
      </c>
      <c r="F6" s="6" t="s">
        <v>28</v>
      </c>
      <c r="G6" s="1" t="s">
        <v>54</v>
      </c>
      <c r="H6" s="7" t="s">
        <v>24</v>
      </c>
      <c r="I6" s="1" t="s">
        <v>63</v>
      </c>
      <c r="J6" s="1" t="s">
        <v>64</v>
      </c>
      <c r="K6" s="1" t="s">
        <v>65</v>
      </c>
      <c r="L6" s="1" t="s">
        <v>66</v>
      </c>
      <c r="M6" s="8" t="s">
        <v>23</v>
      </c>
      <c r="N6" s="14" t="s">
        <v>2272</v>
      </c>
      <c r="O6" s="1" t="s">
        <v>59</v>
      </c>
      <c r="P6" s="1" t="s">
        <v>60</v>
      </c>
    </row>
    <row r="7" spans="1:16" ht="57.6" x14ac:dyDescent="0.3">
      <c r="A7" s="1" t="s">
        <v>67</v>
      </c>
      <c r="B7" s="1" t="s">
        <v>50</v>
      </c>
      <c r="C7" s="1" t="s">
        <v>51</v>
      </c>
      <c r="D7" s="1" t="s">
        <v>52</v>
      </c>
      <c r="E7" s="1" t="s">
        <v>68</v>
      </c>
      <c r="F7" s="6" t="s">
        <v>28</v>
      </c>
      <c r="G7" s="1" t="s">
        <v>54</v>
      </c>
      <c r="H7" s="7" t="s">
        <v>24</v>
      </c>
      <c r="I7" s="1" t="s">
        <v>69</v>
      </c>
      <c r="J7" s="1" t="s">
        <v>70</v>
      </c>
      <c r="K7" s="1" t="s">
        <v>71</v>
      </c>
      <c r="L7" s="1" t="s">
        <v>72</v>
      </c>
      <c r="M7" s="8" t="s">
        <v>23</v>
      </c>
      <c r="N7" s="14" t="s">
        <v>2272</v>
      </c>
      <c r="O7" s="1" t="s">
        <v>59</v>
      </c>
      <c r="P7" s="1" t="s">
        <v>60</v>
      </c>
    </row>
    <row r="8" spans="1:16" ht="57.6" x14ac:dyDescent="0.3">
      <c r="A8" s="1" t="s">
        <v>73</v>
      </c>
      <c r="B8" s="1" t="s">
        <v>50</v>
      </c>
      <c r="C8" s="1" t="s">
        <v>51</v>
      </c>
      <c r="D8" s="1" t="s">
        <v>74</v>
      </c>
      <c r="E8" s="1" t="s">
        <v>75</v>
      </c>
      <c r="F8" s="6" t="s">
        <v>31</v>
      </c>
      <c r="G8" s="1" t="s">
        <v>76</v>
      </c>
      <c r="H8" s="7" t="s">
        <v>24</v>
      </c>
      <c r="I8" s="1" t="s">
        <v>77</v>
      </c>
      <c r="J8" s="1" t="s">
        <v>78</v>
      </c>
      <c r="K8" s="1" t="s">
        <v>79</v>
      </c>
      <c r="L8" s="1" t="s">
        <v>59</v>
      </c>
      <c r="M8" s="8" t="s">
        <v>23</v>
      </c>
      <c r="N8" s="14" t="s">
        <v>2272</v>
      </c>
      <c r="O8" s="1" t="s">
        <v>80</v>
      </c>
      <c r="P8" s="1" t="s">
        <v>81</v>
      </c>
    </row>
    <row r="9" spans="1:16" ht="57.6" x14ac:dyDescent="0.3">
      <c r="A9" s="1" t="s">
        <v>82</v>
      </c>
      <c r="B9" s="1" t="s">
        <v>50</v>
      </c>
      <c r="C9" s="1" t="s">
        <v>51</v>
      </c>
      <c r="D9" s="1" t="s">
        <v>83</v>
      </c>
      <c r="E9" s="1" t="s">
        <v>84</v>
      </c>
      <c r="F9" s="6" t="s">
        <v>25</v>
      </c>
      <c r="G9" s="1" t="s">
        <v>76</v>
      </c>
      <c r="H9" s="7" t="s">
        <v>24</v>
      </c>
      <c r="I9" s="1" t="s">
        <v>85</v>
      </c>
      <c r="J9" s="1" t="s">
        <v>86</v>
      </c>
      <c r="K9" s="1" t="s">
        <v>87</v>
      </c>
      <c r="L9" s="1" t="s">
        <v>59</v>
      </c>
      <c r="M9" s="8" t="s">
        <v>23</v>
      </c>
      <c r="N9" s="14" t="s">
        <v>2272</v>
      </c>
      <c r="O9" s="1" t="s">
        <v>59</v>
      </c>
      <c r="P9" s="1" t="s">
        <v>88</v>
      </c>
    </row>
    <row r="10" spans="1:16" ht="57.6" x14ac:dyDescent="0.3">
      <c r="A10" s="1" t="s">
        <v>89</v>
      </c>
      <c r="B10" s="1" t="s">
        <v>50</v>
      </c>
      <c r="C10" s="1" t="s">
        <v>51</v>
      </c>
      <c r="D10" s="1" t="s">
        <v>90</v>
      </c>
      <c r="E10" s="1" t="s">
        <v>91</v>
      </c>
      <c r="F10" s="6" t="s">
        <v>25</v>
      </c>
      <c r="G10" s="1" t="s">
        <v>76</v>
      </c>
      <c r="H10" s="7" t="s">
        <v>24</v>
      </c>
      <c r="I10" s="1" t="s">
        <v>85</v>
      </c>
      <c r="J10" s="1" t="s">
        <v>92</v>
      </c>
      <c r="K10" s="1" t="s">
        <v>93</v>
      </c>
      <c r="L10" s="1" t="s">
        <v>59</v>
      </c>
      <c r="M10" s="8" t="s">
        <v>23</v>
      </c>
      <c r="N10" s="14" t="s">
        <v>2272</v>
      </c>
      <c r="O10" s="1" t="s">
        <v>59</v>
      </c>
      <c r="P10" s="1" t="s">
        <v>60</v>
      </c>
    </row>
    <row r="11" spans="1:16" ht="57.6" x14ac:dyDescent="0.3">
      <c r="A11" s="1" t="s">
        <v>94</v>
      </c>
      <c r="B11" s="1" t="s">
        <v>50</v>
      </c>
      <c r="C11" s="1" t="s">
        <v>51</v>
      </c>
      <c r="D11" s="1" t="s">
        <v>95</v>
      </c>
      <c r="E11" s="1" t="s">
        <v>96</v>
      </c>
      <c r="F11" s="6" t="s">
        <v>30</v>
      </c>
      <c r="G11" s="1" t="s">
        <v>97</v>
      </c>
      <c r="H11" s="7" t="s">
        <v>24</v>
      </c>
      <c r="I11" s="1" t="s">
        <v>98</v>
      </c>
      <c r="J11" s="1" t="s">
        <v>99</v>
      </c>
      <c r="K11" s="1" t="s">
        <v>100</v>
      </c>
      <c r="L11" s="1" t="s">
        <v>59</v>
      </c>
      <c r="M11" s="8" t="s">
        <v>23</v>
      </c>
      <c r="N11" s="14" t="s">
        <v>2272</v>
      </c>
      <c r="O11" s="1" t="s">
        <v>59</v>
      </c>
      <c r="P11" s="1" t="s">
        <v>101</v>
      </c>
    </row>
    <row r="12" spans="1:16" ht="72" x14ac:dyDescent="0.3">
      <c r="A12" s="1" t="s">
        <v>102</v>
      </c>
      <c r="B12" s="1" t="s">
        <v>50</v>
      </c>
      <c r="C12" s="1" t="s">
        <v>51</v>
      </c>
      <c r="D12" s="1" t="s">
        <v>52</v>
      </c>
      <c r="E12" s="1" t="s">
        <v>103</v>
      </c>
      <c r="F12" s="6" t="s">
        <v>28</v>
      </c>
      <c r="G12" s="1" t="s">
        <v>54</v>
      </c>
      <c r="H12" s="7" t="s">
        <v>24</v>
      </c>
      <c r="I12" s="1" t="s">
        <v>104</v>
      </c>
      <c r="J12" s="1" t="s">
        <v>105</v>
      </c>
      <c r="K12" s="1" t="s">
        <v>106</v>
      </c>
      <c r="L12" s="1" t="s">
        <v>107</v>
      </c>
      <c r="M12" s="8" t="s">
        <v>23</v>
      </c>
      <c r="N12" s="14" t="s">
        <v>2272</v>
      </c>
      <c r="O12" s="1" t="s">
        <v>59</v>
      </c>
      <c r="P12" s="1" t="s">
        <v>108</v>
      </c>
    </row>
    <row r="13" spans="1:16" ht="57.6" x14ac:dyDescent="0.3">
      <c r="A13" s="1" t="s">
        <v>109</v>
      </c>
      <c r="B13" s="1" t="s">
        <v>50</v>
      </c>
      <c r="C13" s="1" t="s">
        <v>51</v>
      </c>
      <c r="D13" s="1" t="s">
        <v>52</v>
      </c>
      <c r="E13" s="1" t="s">
        <v>110</v>
      </c>
      <c r="F13" s="6" t="s">
        <v>28</v>
      </c>
      <c r="G13" s="1" t="s">
        <v>54</v>
      </c>
      <c r="H13" s="7" t="s">
        <v>24</v>
      </c>
      <c r="I13" s="1" t="s">
        <v>111</v>
      </c>
      <c r="J13" s="1" t="s">
        <v>112</v>
      </c>
      <c r="K13" s="1" t="s">
        <v>113</v>
      </c>
      <c r="L13" s="1" t="s">
        <v>114</v>
      </c>
      <c r="M13" s="8" t="s">
        <v>23</v>
      </c>
      <c r="N13" s="14" t="s">
        <v>2272</v>
      </c>
      <c r="O13" s="1" t="s">
        <v>59</v>
      </c>
      <c r="P13" s="1" t="s">
        <v>108</v>
      </c>
    </row>
    <row r="14" spans="1:16" ht="57.6" x14ac:dyDescent="0.3">
      <c r="A14" s="1" t="s">
        <v>115</v>
      </c>
      <c r="B14" s="1" t="s">
        <v>50</v>
      </c>
      <c r="C14" s="1" t="s">
        <v>51</v>
      </c>
      <c r="D14" s="1" t="s">
        <v>52</v>
      </c>
      <c r="E14" s="1" t="s">
        <v>116</v>
      </c>
      <c r="F14" s="6" t="s">
        <v>30</v>
      </c>
      <c r="G14" s="1" t="s">
        <v>54</v>
      </c>
      <c r="H14" s="7" t="s">
        <v>27</v>
      </c>
      <c r="I14" s="1" t="s">
        <v>117</v>
      </c>
      <c r="J14" s="1" t="s">
        <v>118</v>
      </c>
      <c r="K14" s="1" t="s">
        <v>119</v>
      </c>
      <c r="L14" s="1" t="s">
        <v>120</v>
      </c>
      <c r="M14" s="8" t="s">
        <v>23</v>
      </c>
      <c r="N14" s="14" t="s">
        <v>2272</v>
      </c>
      <c r="O14" s="1" t="s">
        <v>59</v>
      </c>
      <c r="P14" s="1" t="s">
        <v>108</v>
      </c>
    </row>
    <row r="15" spans="1:16" ht="43.2" x14ac:dyDescent="0.3">
      <c r="A15" s="1" t="s">
        <v>121</v>
      </c>
      <c r="B15" s="1" t="s">
        <v>50</v>
      </c>
      <c r="C15" s="1" t="s">
        <v>51</v>
      </c>
      <c r="D15" s="1" t="s">
        <v>74</v>
      </c>
      <c r="E15" s="1" t="s">
        <v>122</v>
      </c>
      <c r="F15" s="6" t="s">
        <v>31</v>
      </c>
      <c r="G15" s="1" t="s">
        <v>76</v>
      </c>
      <c r="H15" s="7" t="s">
        <v>24</v>
      </c>
      <c r="I15" s="1" t="s">
        <v>123</v>
      </c>
      <c r="J15" s="1" t="s">
        <v>124</v>
      </c>
      <c r="K15" s="1" t="s">
        <v>125</v>
      </c>
      <c r="L15" s="1" t="s">
        <v>126</v>
      </c>
      <c r="M15" s="8" t="s">
        <v>23</v>
      </c>
      <c r="N15" s="14" t="s">
        <v>2272</v>
      </c>
      <c r="O15" s="1" t="s">
        <v>59</v>
      </c>
      <c r="P15" s="1" t="s">
        <v>127</v>
      </c>
    </row>
    <row r="16" spans="1:16" ht="57.6" x14ac:dyDescent="0.3">
      <c r="A16" s="1" t="s">
        <v>128</v>
      </c>
      <c r="B16" s="1" t="s">
        <v>50</v>
      </c>
      <c r="C16" s="1" t="s">
        <v>51</v>
      </c>
      <c r="D16" s="1" t="s">
        <v>83</v>
      </c>
      <c r="E16" s="1" t="s">
        <v>129</v>
      </c>
      <c r="F16" s="6" t="s">
        <v>25</v>
      </c>
      <c r="G16" s="1" t="s">
        <v>76</v>
      </c>
      <c r="H16" s="7" t="s">
        <v>24</v>
      </c>
      <c r="I16" s="1" t="s">
        <v>130</v>
      </c>
      <c r="J16" s="1" t="s">
        <v>131</v>
      </c>
      <c r="K16" s="1" t="s">
        <v>132</v>
      </c>
      <c r="L16" s="1" t="s">
        <v>59</v>
      </c>
      <c r="M16" s="8" t="s">
        <v>23</v>
      </c>
      <c r="N16" s="14" t="s">
        <v>2272</v>
      </c>
      <c r="O16" s="1" t="s">
        <v>59</v>
      </c>
      <c r="P16" s="1" t="s">
        <v>81</v>
      </c>
    </row>
    <row r="17" spans="1:16" ht="72" x14ac:dyDescent="0.3">
      <c r="A17" s="1" t="s">
        <v>133</v>
      </c>
      <c r="B17" s="1" t="s">
        <v>50</v>
      </c>
      <c r="C17" s="1" t="s">
        <v>51</v>
      </c>
      <c r="D17" s="1" t="s">
        <v>134</v>
      </c>
      <c r="E17" s="1" t="s">
        <v>135</v>
      </c>
      <c r="F17" s="6" t="s">
        <v>25</v>
      </c>
      <c r="G17" s="1" t="s">
        <v>76</v>
      </c>
      <c r="H17" s="7" t="s">
        <v>24</v>
      </c>
      <c r="I17" s="1" t="s">
        <v>136</v>
      </c>
      <c r="J17" s="1" t="s">
        <v>137</v>
      </c>
      <c r="K17" s="1" t="s">
        <v>138</v>
      </c>
      <c r="L17" s="1" t="s">
        <v>59</v>
      </c>
      <c r="M17" s="8" t="s">
        <v>23</v>
      </c>
      <c r="N17" s="14" t="s">
        <v>2272</v>
      </c>
      <c r="O17" s="1" t="s">
        <v>59</v>
      </c>
      <c r="P17" s="1" t="s">
        <v>139</v>
      </c>
    </row>
    <row r="18" spans="1:16" ht="43.2" x14ac:dyDescent="0.3">
      <c r="A18" s="1" t="s">
        <v>140</v>
      </c>
      <c r="B18" s="1" t="s">
        <v>50</v>
      </c>
      <c r="C18" s="1" t="s">
        <v>51</v>
      </c>
      <c r="D18" s="1" t="s">
        <v>141</v>
      </c>
      <c r="E18" s="1" t="s">
        <v>142</v>
      </c>
      <c r="F18" s="6" t="s">
        <v>25</v>
      </c>
      <c r="G18" s="1" t="s">
        <v>76</v>
      </c>
      <c r="H18" s="7" t="s">
        <v>27</v>
      </c>
      <c r="I18" s="1" t="s">
        <v>143</v>
      </c>
      <c r="J18" s="1" t="s">
        <v>144</v>
      </c>
      <c r="K18" s="1" t="s">
        <v>145</v>
      </c>
      <c r="L18" s="1" t="s">
        <v>146</v>
      </c>
      <c r="M18" s="8" t="s">
        <v>23</v>
      </c>
      <c r="N18" s="14" t="s">
        <v>2272</v>
      </c>
      <c r="O18" s="1" t="s">
        <v>59</v>
      </c>
      <c r="P18" s="1" t="s">
        <v>139</v>
      </c>
    </row>
    <row r="19" spans="1:16" ht="57.6" x14ac:dyDescent="0.3">
      <c r="A19" s="1" t="s">
        <v>147</v>
      </c>
      <c r="B19" s="1" t="s">
        <v>50</v>
      </c>
      <c r="C19" s="1" t="s">
        <v>51</v>
      </c>
      <c r="D19" s="1" t="s">
        <v>148</v>
      </c>
      <c r="E19" s="1" t="s">
        <v>149</v>
      </c>
      <c r="F19" s="6" t="s">
        <v>30</v>
      </c>
      <c r="G19" s="1" t="s">
        <v>150</v>
      </c>
      <c r="H19" s="7" t="s">
        <v>24</v>
      </c>
      <c r="I19" s="1" t="s">
        <v>151</v>
      </c>
      <c r="J19" s="1" t="s">
        <v>152</v>
      </c>
      <c r="K19" s="1" t="s">
        <v>153</v>
      </c>
      <c r="L19" s="1" t="s">
        <v>154</v>
      </c>
      <c r="M19" s="8" t="s">
        <v>23</v>
      </c>
      <c r="N19" s="14" t="s">
        <v>2272</v>
      </c>
      <c r="O19" s="1" t="s">
        <v>59</v>
      </c>
      <c r="P19" s="1" t="s">
        <v>101</v>
      </c>
    </row>
    <row r="20" spans="1:16" ht="57.6" x14ac:dyDescent="0.3">
      <c r="A20" s="1" t="s">
        <v>155</v>
      </c>
      <c r="B20" s="1" t="s">
        <v>50</v>
      </c>
      <c r="C20" s="1" t="s">
        <v>51</v>
      </c>
      <c r="D20" s="1" t="s">
        <v>156</v>
      </c>
      <c r="E20" s="1" t="s">
        <v>157</v>
      </c>
      <c r="F20" s="6" t="s">
        <v>25</v>
      </c>
      <c r="G20" s="1" t="s">
        <v>76</v>
      </c>
      <c r="H20" s="7" t="s">
        <v>27</v>
      </c>
      <c r="I20" s="1" t="s">
        <v>158</v>
      </c>
      <c r="J20" s="1" t="s">
        <v>159</v>
      </c>
      <c r="K20" s="1" t="s">
        <v>160</v>
      </c>
      <c r="L20" s="1" t="s">
        <v>59</v>
      </c>
      <c r="M20" s="8" t="s">
        <v>23</v>
      </c>
      <c r="N20" s="14" t="s">
        <v>2272</v>
      </c>
      <c r="O20" s="1" t="s">
        <v>59</v>
      </c>
      <c r="P20" s="1" t="s">
        <v>161</v>
      </c>
    </row>
    <row r="21" spans="1:16" ht="57.6" x14ac:dyDescent="0.3">
      <c r="A21" s="1" t="s">
        <v>162</v>
      </c>
      <c r="B21" s="1" t="s">
        <v>50</v>
      </c>
      <c r="C21" s="1" t="s">
        <v>51</v>
      </c>
      <c r="D21" s="1" t="s">
        <v>163</v>
      </c>
      <c r="E21" s="1" t="s">
        <v>164</v>
      </c>
      <c r="F21" s="6" t="s">
        <v>31</v>
      </c>
      <c r="G21" s="1" t="s">
        <v>76</v>
      </c>
      <c r="H21" s="7" t="s">
        <v>24</v>
      </c>
      <c r="I21" s="1" t="s">
        <v>165</v>
      </c>
      <c r="J21" s="1" t="s">
        <v>166</v>
      </c>
      <c r="K21" s="1" t="s">
        <v>167</v>
      </c>
      <c r="L21" s="1" t="s">
        <v>59</v>
      </c>
      <c r="M21" s="8" t="s">
        <v>23</v>
      </c>
      <c r="N21" s="14" t="s">
        <v>2272</v>
      </c>
      <c r="O21" s="1" t="s">
        <v>59</v>
      </c>
      <c r="P21" s="1" t="s">
        <v>139</v>
      </c>
    </row>
    <row r="22" spans="1:16" ht="57.6" x14ac:dyDescent="0.3">
      <c r="A22" s="1" t="s">
        <v>168</v>
      </c>
      <c r="B22" s="1" t="s">
        <v>169</v>
      </c>
      <c r="C22" s="1" t="s">
        <v>170</v>
      </c>
      <c r="D22" s="1" t="s">
        <v>171</v>
      </c>
      <c r="E22" s="1" t="s">
        <v>172</v>
      </c>
      <c r="F22" s="6" t="s">
        <v>25</v>
      </c>
      <c r="G22" s="1" t="s">
        <v>173</v>
      </c>
      <c r="H22" s="7" t="s">
        <v>24</v>
      </c>
      <c r="I22" s="1" t="s">
        <v>174</v>
      </c>
      <c r="J22" s="1" t="s">
        <v>175</v>
      </c>
      <c r="K22" s="1" t="s">
        <v>176</v>
      </c>
      <c r="L22" s="1" t="s">
        <v>59</v>
      </c>
      <c r="M22" s="8" t="s">
        <v>23</v>
      </c>
      <c r="N22" s="14" t="s">
        <v>2272</v>
      </c>
      <c r="O22" s="1" t="s">
        <v>59</v>
      </c>
      <c r="P22" s="1" t="s">
        <v>60</v>
      </c>
    </row>
    <row r="23" spans="1:16" ht="57.6" x14ac:dyDescent="0.3">
      <c r="A23" s="1" t="s">
        <v>177</v>
      </c>
      <c r="B23" s="1" t="s">
        <v>169</v>
      </c>
      <c r="C23" s="1" t="s">
        <v>170</v>
      </c>
      <c r="D23" s="1" t="s">
        <v>178</v>
      </c>
      <c r="E23" s="1" t="s">
        <v>179</v>
      </c>
      <c r="F23" s="6" t="s">
        <v>25</v>
      </c>
      <c r="G23" s="1" t="s">
        <v>180</v>
      </c>
      <c r="H23" s="7" t="s">
        <v>24</v>
      </c>
      <c r="I23" s="1" t="s">
        <v>181</v>
      </c>
      <c r="J23" s="1" t="s">
        <v>182</v>
      </c>
      <c r="K23" s="1" t="s">
        <v>183</v>
      </c>
      <c r="L23" s="1" t="s">
        <v>59</v>
      </c>
      <c r="M23" s="8" t="s">
        <v>23</v>
      </c>
      <c r="N23" s="14" t="s">
        <v>2272</v>
      </c>
      <c r="O23" s="1" t="s">
        <v>59</v>
      </c>
      <c r="P23" s="1" t="s">
        <v>60</v>
      </c>
    </row>
    <row r="24" spans="1:16" ht="43.2" x14ac:dyDescent="0.3">
      <c r="A24" s="1" t="s">
        <v>184</v>
      </c>
      <c r="B24" s="1" t="s">
        <v>169</v>
      </c>
      <c r="C24" s="1" t="s">
        <v>170</v>
      </c>
      <c r="D24" s="1" t="s">
        <v>178</v>
      </c>
      <c r="E24" s="1" t="s">
        <v>185</v>
      </c>
      <c r="F24" s="6" t="s">
        <v>30</v>
      </c>
      <c r="G24" s="1" t="s">
        <v>186</v>
      </c>
      <c r="H24" s="7" t="s">
        <v>24</v>
      </c>
      <c r="I24" s="1" t="s">
        <v>187</v>
      </c>
      <c r="J24" s="1" t="s">
        <v>188</v>
      </c>
      <c r="K24" s="1" t="s">
        <v>189</v>
      </c>
      <c r="L24" s="1" t="s">
        <v>59</v>
      </c>
      <c r="M24" s="8" t="s">
        <v>23</v>
      </c>
      <c r="N24" s="14" t="s">
        <v>2272</v>
      </c>
      <c r="O24" s="1" t="s">
        <v>59</v>
      </c>
      <c r="P24" s="1" t="s">
        <v>101</v>
      </c>
    </row>
    <row r="25" spans="1:16" ht="57.6" x14ac:dyDescent="0.3">
      <c r="A25" s="1" t="s">
        <v>190</v>
      </c>
      <c r="B25" s="1" t="s">
        <v>169</v>
      </c>
      <c r="C25" s="1" t="s">
        <v>170</v>
      </c>
      <c r="D25" s="1" t="s">
        <v>191</v>
      </c>
      <c r="E25" s="1" t="s">
        <v>192</v>
      </c>
      <c r="F25" s="6" t="s">
        <v>25</v>
      </c>
      <c r="G25" s="1" t="s">
        <v>193</v>
      </c>
      <c r="H25" s="7" t="s">
        <v>24</v>
      </c>
      <c r="I25" s="1" t="s">
        <v>194</v>
      </c>
      <c r="J25" s="1" t="s">
        <v>195</v>
      </c>
      <c r="K25" s="1" t="s">
        <v>196</v>
      </c>
      <c r="L25" s="1" t="s">
        <v>59</v>
      </c>
      <c r="M25" s="8" t="s">
        <v>23</v>
      </c>
      <c r="N25" s="14" t="s">
        <v>2273</v>
      </c>
      <c r="O25" s="1" t="s">
        <v>59</v>
      </c>
      <c r="P25" s="1" t="s">
        <v>60</v>
      </c>
    </row>
    <row r="26" spans="1:16" ht="57.6" x14ac:dyDescent="0.3">
      <c r="A26" s="1" t="s">
        <v>197</v>
      </c>
      <c r="B26" s="1" t="s">
        <v>169</v>
      </c>
      <c r="C26" s="1" t="s">
        <v>170</v>
      </c>
      <c r="D26" s="1" t="s">
        <v>198</v>
      </c>
      <c r="E26" s="1" t="s">
        <v>199</v>
      </c>
      <c r="F26" s="6" t="s">
        <v>25</v>
      </c>
      <c r="G26" s="1" t="s">
        <v>200</v>
      </c>
      <c r="H26" s="7" t="s">
        <v>24</v>
      </c>
      <c r="I26" s="1" t="s">
        <v>201</v>
      </c>
      <c r="J26" s="1" t="s">
        <v>202</v>
      </c>
      <c r="K26" s="1" t="s">
        <v>203</v>
      </c>
      <c r="L26" s="1" t="s">
        <v>59</v>
      </c>
      <c r="M26" s="8" t="s">
        <v>23</v>
      </c>
      <c r="N26" s="14" t="s">
        <v>2272</v>
      </c>
      <c r="O26" s="1" t="s">
        <v>59</v>
      </c>
      <c r="P26" s="1" t="s">
        <v>60</v>
      </c>
    </row>
    <row r="27" spans="1:16" ht="57.6" x14ac:dyDescent="0.3">
      <c r="A27" s="1" t="s">
        <v>204</v>
      </c>
      <c r="B27" s="1" t="s">
        <v>169</v>
      </c>
      <c r="C27" s="1" t="s">
        <v>170</v>
      </c>
      <c r="D27" s="1" t="s">
        <v>198</v>
      </c>
      <c r="E27" s="1" t="s">
        <v>205</v>
      </c>
      <c r="F27" s="6" t="s">
        <v>31</v>
      </c>
      <c r="G27" s="1" t="s">
        <v>200</v>
      </c>
      <c r="H27" s="7" t="s">
        <v>24</v>
      </c>
      <c r="I27" s="1" t="s">
        <v>206</v>
      </c>
      <c r="J27" s="1" t="s">
        <v>207</v>
      </c>
      <c r="K27" s="1" t="s">
        <v>208</v>
      </c>
      <c r="L27" s="1" t="s">
        <v>59</v>
      </c>
      <c r="M27" s="8" t="s">
        <v>23</v>
      </c>
      <c r="N27" s="14" t="s">
        <v>2272</v>
      </c>
      <c r="O27" s="1" t="s">
        <v>59</v>
      </c>
      <c r="P27" s="1" t="s">
        <v>60</v>
      </c>
    </row>
    <row r="28" spans="1:16" ht="57.6" x14ac:dyDescent="0.3">
      <c r="A28" s="1" t="s">
        <v>209</v>
      </c>
      <c r="B28" s="1" t="s">
        <v>169</v>
      </c>
      <c r="C28" s="1" t="s">
        <v>170</v>
      </c>
      <c r="D28" s="1" t="s">
        <v>210</v>
      </c>
      <c r="E28" s="1" t="s">
        <v>211</v>
      </c>
      <c r="F28" s="6" t="s">
        <v>31</v>
      </c>
      <c r="G28" s="1" t="s">
        <v>212</v>
      </c>
      <c r="H28" s="7" t="s">
        <v>27</v>
      </c>
      <c r="I28" s="1" t="s">
        <v>213</v>
      </c>
      <c r="J28" s="1" t="s">
        <v>214</v>
      </c>
      <c r="K28" s="1" t="s">
        <v>215</v>
      </c>
      <c r="L28" s="1" t="s">
        <v>59</v>
      </c>
      <c r="M28" s="8" t="s">
        <v>23</v>
      </c>
      <c r="N28" s="14" t="s">
        <v>2272</v>
      </c>
      <c r="O28" s="1" t="s">
        <v>59</v>
      </c>
      <c r="P28" s="1" t="s">
        <v>60</v>
      </c>
    </row>
    <row r="29" spans="1:16" ht="57.6" x14ac:dyDescent="0.3">
      <c r="A29" s="1" t="s">
        <v>216</v>
      </c>
      <c r="B29" s="1" t="s">
        <v>169</v>
      </c>
      <c r="C29" s="1" t="s">
        <v>170</v>
      </c>
      <c r="D29" s="1" t="s">
        <v>217</v>
      </c>
      <c r="E29" s="1" t="s">
        <v>218</v>
      </c>
      <c r="F29" s="6" t="s">
        <v>30</v>
      </c>
      <c r="G29" s="1" t="s">
        <v>219</v>
      </c>
      <c r="H29" s="7" t="s">
        <v>27</v>
      </c>
      <c r="I29" s="1" t="s">
        <v>220</v>
      </c>
      <c r="J29" s="1" t="s">
        <v>221</v>
      </c>
      <c r="K29" s="1" t="s">
        <v>222</v>
      </c>
      <c r="L29" s="1" t="s">
        <v>59</v>
      </c>
      <c r="M29" s="8" t="s">
        <v>23</v>
      </c>
      <c r="N29" s="14" t="s">
        <v>2272</v>
      </c>
      <c r="O29" s="1" t="s">
        <v>59</v>
      </c>
      <c r="P29" s="1" t="s">
        <v>81</v>
      </c>
    </row>
    <row r="30" spans="1:16" ht="57.6" x14ac:dyDescent="0.3">
      <c r="A30" s="1" t="s">
        <v>223</v>
      </c>
      <c r="B30" s="1" t="s">
        <v>169</v>
      </c>
      <c r="C30" s="1" t="s">
        <v>170</v>
      </c>
      <c r="D30" s="1" t="s">
        <v>171</v>
      </c>
      <c r="E30" s="1" t="s">
        <v>224</v>
      </c>
      <c r="F30" s="6" t="s">
        <v>31</v>
      </c>
      <c r="G30" s="1" t="s">
        <v>173</v>
      </c>
      <c r="H30" s="7" t="s">
        <v>24</v>
      </c>
      <c r="I30" s="1" t="s">
        <v>225</v>
      </c>
      <c r="J30" s="1" t="s">
        <v>226</v>
      </c>
      <c r="K30" s="1" t="s">
        <v>227</v>
      </c>
      <c r="L30" s="1" t="s">
        <v>59</v>
      </c>
      <c r="M30" s="8" t="s">
        <v>23</v>
      </c>
      <c r="N30" s="14" t="s">
        <v>2272</v>
      </c>
      <c r="O30" s="1" t="s">
        <v>59</v>
      </c>
      <c r="P30" s="1" t="s">
        <v>228</v>
      </c>
    </row>
    <row r="31" spans="1:16" ht="57.6" x14ac:dyDescent="0.3">
      <c r="A31" s="1" t="s">
        <v>229</v>
      </c>
      <c r="B31" s="1" t="s">
        <v>169</v>
      </c>
      <c r="C31" s="1" t="s">
        <v>170</v>
      </c>
      <c r="D31" s="1" t="s">
        <v>171</v>
      </c>
      <c r="E31" s="1" t="s">
        <v>230</v>
      </c>
      <c r="F31" s="6" t="s">
        <v>28</v>
      </c>
      <c r="G31" s="1" t="s">
        <v>173</v>
      </c>
      <c r="H31" s="7" t="s">
        <v>24</v>
      </c>
      <c r="I31" s="1" t="s">
        <v>231</v>
      </c>
      <c r="J31" s="1" t="s">
        <v>232</v>
      </c>
      <c r="K31" s="1" t="s">
        <v>233</v>
      </c>
      <c r="L31" s="1" t="s">
        <v>234</v>
      </c>
      <c r="M31" s="8" t="s">
        <v>23</v>
      </c>
      <c r="N31" s="14" t="s">
        <v>2272</v>
      </c>
      <c r="O31" s="1" t="s">
        <v>59</v>
      </c>
      <c r="P31" s="1" t="s">
        <v>228</v>
      </c>
    </row>
    <row r="32" spans="1:16" ht="57.6" x14ac:dyDescent="0.3">
      <c r="A32" s="1" t="s">
        <v>235</v>
      </c>
      <c r="B32" s="1" t="s">
        <v>169</v>
      </c>
      <c r="C32" s="1" t="s">
        <v>170</v>
      </c>
      <c r="D32" s="1" t="s">
        <v>171</v>
      </c>
      <c r="E32" s="1" t="s">
        <v>236</v>
      </c>
      <c r="F32" s="6" t="s">
        <v>28</v>
      </c>
      <c r="G32" s="1" t="s">
        <v>173</v>
      </c>
      <c r="H32" s="7" t="s">
        <v>27</v>
      </c>
      <c r="I32" s="1" t="s">
        <v>231</v>
      </c>
      <c r="J32" s="1" t="s">
        <v>237</v>
      </c>
      <c r="K32" s="1" t="s">
        <v>238</v>
      </c>
      <c r="L32" s="1" t="s">
        <v>239</v>
      </c>
      <c r="M32" s="8" t="s">
        <v>23</v>
      </c>
      <c r="N32" s="14" t="s">
        <v>2272</v>
      </c>
      <c r="O32" s="1" t="s">
        <v>59</v>
      </c>
      <c r="P32" s="1" t="s">
        <v>228</v>
      </c>
    </row>
    <row r="33" spans="1:16" ht="72" x14ac:dyDescent="0.3">
      <c r="A33" s="1" t="s">
        <v>240</v>
      </c>
      <c r="B33" s="1" t="s">
        <v>169</v>
      </c>
      <c r="C33" s="1" t="s">
        <v>170</v>
      </c>
      <c r="D33" s="1" t="s">
        <v>178</v>
      </c>
      <c r="E33" s="1" t="s">
        <v>241</v>
      </c>
      <c r="F33" s="6" t="s">
        <v>25</v>
      </c>
      <c r="G33" s="1" t="s">
        <v>180</v>
      </c>
      <c r="H33" s="7" t="s">
        <v>27</v>
      </c>
      <c r="I33" s="1" t="s">
        <v>242</v>
      </c>
      <c r="J33" s="1" t="s">
        <v>243</v>
      </c>
      <c r="K33" s="1" t="s">
        <v>244</v>
      </c>
      <c r="L33" s="1" t="s">
        <v>245</v>
      </c>
      <c r="M33" s="8" t="s">
        <v>23</v>
      </c>
      <c r="N33" s="14" t="s">
        <v>2272</v>
      </c>
      <c r="O33" s="1" t="s">
        <v>59</v>
      </c>
      <c r="P33" s="1" t="s">
        <v>246</v>
      </c>
    </row>
    <row r="34" spans="1:16" ht="57.6" x14ac:dyDescent="0.3">
      <c r="A34" s="1" t="s">
        <v>247</v>
      </c>
      <c r="B34" s="1" t="s">
        <v>169</v>
      </c>
      <c r="C34" s="1" t="s">
        <v>170</v>
      </c>
      <c r="D34" s="1" t="s">
        <v>178</v>
      </c>
      <c r="E34" s="1" t="s">
        <v>248</v>
      </c>
      <c r="F34" s="6" t="s">
        <v>25</v>
      </c>
      <c r="G34" s="1" t="s">
        <v>180</v>
      </c>
      <c r="H34" s="7" t="s">
        <v>27</v>
      </c>
      <c r="I34" s="1" t="s">
        <v>242</v>
      </c>
      <c r="J34" s="1" t="s">
        <v>249</v>
      </c>
      <c r="K34" s="1" t="s">
        <v>250</v>
      </c>
      <c r="L34" s="1" t="s">
        <v>251</v>
      </c>
      <c r="M34" s="8" t="s">
        <v>23</v>
      </c>
      <c r="N34" s="14" t="s">
        <v>2272</v>
      </c>
      <c r="O34" s="1" t="s">
        <v>59</v>
      </c>
      <c r="P34" s="1" t="s">
        <v>246</v>
      </c>
    </row>
    <row r="35" spans="1:16" ht="43.2" x14ac:dyDescent="0.3">
      <c r="A35" s="1" t="s">
        <v>252</v>
      </c>
      <c r="B35" s="1" t="s">
        <v>169</v>
      </c>
      <c r="C35" s="1" t="s">
        <v>170</v>
      </c>
      <c r="D35" s="1" t="s">
        <v>178</v>
      </c>
      <c r="E35" s="1" t="s">
        <v>253</v>
      </c>
      <c r="F35" s="6" t="s">
        <v>28</v>
      </c>
      <c r="G35" s="1" t="s">
        <v>180</v>
      </c>
      <c r="H35" s="7" t="s">
        <v>24</v>
      </c>
      <c r="I35" s="1" t="s">
        <v>242</v>
      </c>
      <c r="J35" s="1" t="s">
        <v>254</v>
      </c>
      <c r="K35" s="1" t="s">
        <v>255</v>
      </c>
      <c r="L35" s="1" t="s">
        <v>256</v>
      </c>
      <c r="M35" s="8" t="s">
        <v>23</v>
      </c>
      <c r="N35" s="14" t="s">
        <v>2272</v>
      </c>
      <c r="O35" s="1" t="s">
        <v>59</v>
      </c>
      <c r="P35" s="1" t="s">
        <v>60</v>
      </c>
    </row>
    <row r="36" spans="1:16" ht="57.6" x14ac:dyDescent="0.3">
      <c r="A36" s="1" t="s">
        <v>257</v>
      </c>
      <c r="B36" s="1" t="s">
        <v>169</v>
      </c>
      <c r="C36" s="1" t="s">
        <v>170</v>
      </c>
      <c r="D36" s="1" t="s">
        <v>258</v>
      </c>
      <c r="E36" s="1" t="s">
        <v>259</v>
      </c>
      <c r="F36" s="6" t="s">
        <v>25</v>
      </c>
      <c r="G36" s="1" t="s">
        <v>173</v>
      </c>
      <c r="H36" s="7" t="s">
        <v>24</v>
      </c>
      <c r="I36" s="1" t="s">
        <v>260</v>
      </c>
      <c r="J36" s="1" t="s">
        <v>261</v>
      </c>
      <c r="K36" s="1" t="s">
        <v>262</v>
      </c>
      <c r="L36" s="1" t="s">
        <v>59</v>
      </c>
      <c r="M36" s="8" t="s">
        <v>23</v>
      </c>
      <c r="N36" s="14" t="s">
        <v>2272</v>
      </c>
      <c r="O36" s="1" t="s">
        <v>59</v>
      </c>
      <c r="P36" s="1" t="s">
        <v>263</v>
      </c>
    </row>
    <row r="37" spans="1:16" ht="43.2" x14ac:dyDescent="0.3">
      <c r="A37" s="1" t="s">
        <v>264</v>
      </c>
      <c r="B37" s="1" t="s">
        <v>169</v>
      </c>
      <c r="C37" s="1" t="s">
        <v>170</v>
      </c>
      <c r="D37" s="1" t="s">
        <v>191</v>
      </c>
      <c r="E37" s="1" t="s">
        <v>265</v>
      </c>
      <c r="F37" s="6" t="s">
        <v>30</v>
      </c>
      <c r="G37" s="1" t="s">
        <v>186</v>
      </c>
      <c r="H37" s="7" t="s">
        <v>24</v>
      </c>
      <c r="I37" s="1" t="s">
        <v>266</v>
      </c>
      <c r="J37" s="1" t="s">
        <v>267</v>
      </c>
      <c r="K37" s="1" t="s">
        <v>268</v>
      </c>
      <c r="L37" s="1" t="s">
        <v>59</v>
      </c>
      <c r="M37" s="8" t="s">
        <v>23</v>
      </c>
      <c r="N37" s="14" t="s">
        <v>2272</v>
      </c>
      <c r="O37" s="1" t="s">
        <v>59</v>
      </c>
      <c r="P37" s="1" t="s">
        <v>101</v>
      </c>
    </row>
    <row r="38" spans="1:16" ht="43.2" x14ac:dyDescent="0.3">
      <c r="A38" s="1" t="s">
        <v>269</v>
      </c>
      <c r="B38" s="1" t="s">
        <v>169</v>
      </c>
      <c r="C38" s="1" t="s">
        <v>170</v>
      </c>
      <c r="D38" s="1" t="s">
        <v>198</v>
      </c>
      <c r="E38" s="1" t="s">
        <v>270</v>
      </c>
      <c r="F38" s="6" t="s">
        <v>25</v>
      </c>
      <c r="G38" s="1" t="s">
        <v>173</v>
      </c>
      <c r="H38" s="7" t="s">
        <v>24</v>
      </c>
      <c r="I38" s="1" t="s">
        <v>271</v>
      </c>
      <c r="J38" s="1" t="s">
        <v>272</v>
      </c>
      <c r="K38" s="1" t="s">
        <v>273</v>
      </c>
      <c r="L38" s="1" t="s">
        <v>59</v>
      </c>
      <c r="M38" s="8" t="s">
        <v>23</v>
      </c>
      <c r="N38" s="14" t="s">
        <v>2272</v>
      </c>
      <c r="O38" s="1" t="s">
        <v>59</v>
      </c>
      <c r="P38" s="1" t="s">
        <v>60</v>
      </c>
    </row>
    <row r="39" spans="1:16" ht="57.6" x14ac:dyDescent="0.3">
      <c r="A39" s="1" t="s">
        <v>274</v>
      </c>
      <c r="B39" s="1" t="s">
        <v>169</v>
      </c>
      <c r="C39" s="1" t="s">
        <v>170</v>
      </c>
      <c r="D39" s="1" t="s">
        <v>198</v>
      </c>
      <c r="E39" s="1" t="s">
        <v>275</v>
      </c>
      <c r="F39" s="6" t="s">
        <v>31</v>
      </c>
      <c r="G39" s="1" t="s">
        <v>180</v>
      </c>
      <c r="H39" s="7" t="s">
        <v>24</v>
      </c>
      <c r="I39" s="1" t="s">
        <v>276</v>
      </c>
      <c r="J39" s="1" t="s">
        <v>277</v>
      </c>
      <c r="K39" s="1" t="s">
        <v>278</v>
      </c>
      <c r="L39" s="1" t="s">
        <v>279</v>
      </c>
      <c r="M39" s="8" t="s">
        <v>23</v>
      </c>
      <c r="N39" s="14" t="s">
        <v>2272</v>
      </c>
      <c r="O39" s="1" t="s">
        <v>59</v>
      </c>
      <c r="P39" s="1" t="s">
        <v>263</v>
      </c>
    </row>
    <row r="40" spans="1:16" ht="72" x14ac:dyDescent="0.3">
      <c r="A40" s="1" t="s">
        <v>280</v>
      </c>
      <c r="B40" s="1" t="s">
        <v>169</v>
      </c>
      <c r="C40" s="1" t="s">
        <v>170</v>
      </c>
      <c r="D40" s="1" t="s">
        <v>198</v>
      </c>
      <c r="E40" s="1" t="s">
        <v>281</v>
      </c>
      <c r="F40" s="6" t="s">
        <v>31</v>
      </c>
      <c r="G40" s="1" t="s">
        <v>180</v>
      </c>
      <c r="H40" s="7" t="s">
        <v>24</v>
      </c>
      <c r="I40" s="1" t="s">
        <v>282</v>
      </c>
      <c r="J40" s="1" t="s">
        <v>283</v>
      </c>
      <c r="K40" s="1" t="s">
        <v>284</v>
      </c>
      <c r="L40" s="1" t="s">
        <v>285</v>
      </c>
      <c r="M40" s="8" t="s">
        <v>23</v>
      </c>
      <c r="N40" s="14" t="s">
        <v>2272</v>
      </c>
      <c r="O40" s="1" t="s">
        <v>59</v>
      </c>
      <c r="P40" s="1" t="s">
        <v>263</v>
      </c>
    </row>
    <row r="41" spans="1:16" ht="72" x14ac:dyDescent="0.3">
      <c r="A41" s="1" t="s">
        <v>286</v>
      </c>
      <c r="B41" s="1" t="s">
        <v>169</v>
      </c>
      <c r="C41" s="1" t="s">
        <v>170</v>
      </c>
      <c r="D41" s="1" t="s">
        <v>198</v>
      </c>
      <c r="E41" s="1" t="s">
        <v>287</v>
      </c>
      <c r="F41" s="6" t="s">
        <v>28</v>
      </c>
      <c r="G41" s="1" t="s">
        <v>180</v>
      </c>
      <c r="H41" s="7" t="s">
        <v>27</v>
      </c>
      <c r="I41" s="1" t="s">
        <v>288</v>
      </c>
      <c r="J41" s="1" t="s">
        <v>289</v>
      </c>
      <c r="K41" s="1" t="s">
        <v>290</v>
      </c>
      <c r="L41" s="1" t="s">
        <v>291</v>
      </c>
      <c r="M41" s="8" t="s">
        <v>23</v>
      </c>
      <c r="N41" s="14" t="s">
        <v>2272</v>
      </c>
      <c r="O41" s="1" t="s">
        <v>59</v>
      </c>
      <c r="P41" s="1" t="s">
        <v>60</v>
      </c>
    </row>
    <row r="42" spans="1:16" ht="57.6" x14ac:dyDescent="0.3">
      <c r="A42" s="1" t="s">
        <v>292</v>
      </c>
      <c r="B42" s="1" t="s">
        <v>169</v>
      </c>
      <c r="C42" s="1" t="s">
        <v>170</v>
      </c>
      <c r="D42" s="1" t="s">
        <v>293</v>
      </c>
      <c r="E42" s="1" t="s">
        <v>294</v>
      </c>
      <c r="F42" s="6" t="s">
        <v>30</v>
      </c>
      <c r="G42" s="1" t="s">
        <v>97</v>
      </c>
      <c r="H42" s="7" t="s">
        <v>27</v>
      </c>
      <c r="I42" s="1" t="s">
        <v>295</v>
      </c>
      <c r="J42" s="1" t="s">
        <v>296</v>
      </c>
      <c r="K42" s="1" t="s">
        <v>297</v>
      </c>
      <c r="L42" s="1" t="s">
        <v>59</v>
      </c>
      <c r="M42" s="8" t="s">
        <v>23</v>
      </c>
      <c r="N42" s="14" t="s">
        <v>2272</v>
      </c>
      <c r="O42" s="1" t="s">
        <v>59</v>
      </c>
      <c r="P42" s="1" t="s">
        <v>60</v>
      </c>
    </row>
    <row r="43" spans="1:16" ht="72" x14ac:dyDescent="0.3">
      <c r="A43" s="1" t="s">
        <v>298</v>
      </c>
      <c r="B43" s="1" t="s">
        <v>169</v>
      </c>
      <c r="C43" s="1" t="s">
        <v>170</v>
      </c>
      <c r="D43" s="1" t="s">
        <v>293</v>
      </c>
      <c r="E43" s="1" t="s">
        <v>299</v>
      </c>
      <c r="F43" s="6" t="s">
        <v>25</v>
      </c>
      <c r="G43" s="1" t="s">
        <v>180</v>
      </c>
      <c r="H43" s="7" t="s">
        <v>27</v>
      </c>
      <c r="I43" s="1" t="s">
        <v>300</v>
      </c>
      <c r="J43" s="1" t="s">
        <v>301</v>
      </c>
      <c r="K43" s="1" t="s">
        <v>302</v>
      </c>
      <c r="L43" s="1" t="s">
        <v>59</v>
      </c>
      <c r="M43" s="8" t="s">
        <v>23</v>
      </c>
      <c r="N43" s="14" t="s">
        <v>2272</v>
      </c>
      <c r="O43" s="1" t="s">
        <v>59</v>
      </c>
      <c r="P43" s="1" t="s">
        <v>60</v>
      </c>
    </row>
    <row r="44" spans="1:16" ht="57.6" x14ac:dyDescent="0.3">
      <c r="A44" s="1" t="s">
        <v>303</v>
      </c>
      <c r="B44" s="1" t="s">
        <v>169</v>
      </c>
      <c r="C44" s="1" t="s">
        <v>170</v>
      </c>
      <c r="D44" s="1" t="s">
        <v>304</v>
      </c>
      <c r="E44" s="1" t="s">
        <v>305</v>
      </c>
      <c r="F44" s="6" t="s">
        <v>25</v>
      </c>
      <c r="G44" s="1" t="s">
        <v>180</v>
      </c>
      <c r="H44" s="7" t="s">
        <v>27</v>
      </c>
      <c r="I44" s="1" t="s">
        <v>306</v>
      </c>
      <c r="J44" s="1" t="s">
        <v>307</v>
      </c>
      <c r="K44" s="1" t="s">
        <v>308</v>
      </c>
      <c r="L44" s="1" t="s">
        <v>59</v>
      </c>
      <c r="M44" s="8" t="s">
        <v>23</v>
      </c>
      <c r="N44" s="14" t="s">
        <v>2272</v>
      </c>
      <c r="O44" s="1" t="s">
        <v>59</v>
      </c>
      <c r="P44" s="1" t="s">
        <v>60</v>
      </c>
    </row>
    <row r="45" spans="1:16" ht="57.6" x14ac:dyDescent="0.3">
      <c r="A45" s="1" t="s">
        <v>309</v>
      </c>
      <c r="B45" s="1" t="s">
        <v>169</v>
      </c>
      <c r="C45" s="1" t="s">
        <v>170</v>
      </c>
      <c r="D45" s="1" t="s">
        <v>217</v>
      </c>
      <c r="E45" s="1" t="s">
        <v>310</v>
      </c>
      <c r="F45" s="6" t="s">
        <v>30</v>
      </c>
      <c r="G45" s="1" t="s">
        <v>97</v>
      </c>
      <c r="H45" s="7" t="s">
        <v>24</v>
      </c>
      <c r="I45" s="1" t="s">
        <v>311</v>
      </c>
      <c r="J45" s="1" t="s">
        <v>312</v>
      </c>
      <c r="K45" s="1" t="s">
        <v>313</v>
      </c>
      <c r="L45" s="1" t="s">
        <v>59</v>
      </c>
      <c r="M45" s="8" t="s">
        <v>23</v>
      </c>
      <c r="N45" s="14" t="s">
        <v>2272</v>
      </c>
      <c r="O45" s="1" t="s">
        <v>59</v>
      </c>
      <c r="P45" s="1" t="s">
        <v>228</v>
      </c>
    </row>
    <row r="46" spans="1:16" ht="43.2" x14ac:dyDescent="0.3">
      <c r="A46" s="1" t="s">
        <v>314</v>
      </c>
      <c r="B46" s="1" t="s">
        <v>169</v>
      </c>
      <c r="C46" s="1" t="s">
        <v>170</v>
      </c>
      <c r="D46" s="1" t="s">
        <v>315</v>
      </c>
      <c r="E46" s="1" t="s">
        <v>316</v>
      </c>
      <c r="F46" s="6" t="s">
        <v>31</v>
      </c>
      <c r="G46" s="1" t="s">
        <v>180</v>
      </c>
      <c r="H46" s="7" t="s">
        <v>27</v>
      </c>
      <c r="I46" s="1" t="s">
        <v>317</v>
      </c>
      <c r="J46" s="1" t="s">
        <v>318</v>
      </c>
      <c r="K46" s="1" t="s">
        <v>319</v>
      </c>
      <c r="L46" s="1" t="s">
        <v>59</v>
      </c>
      <c r="M46" s="8" t="s">
        <v>23</v>
      </c>
      <c r="N46" s="14" t="s">
        <v>2272</v>
      </c>
      <c r="O46" s="1" t="s">
        <v>59</v>
      </c>
      <c r="P46" s="1" t="s">
        <v>81</v>
      </c>
    </row>
    <row r="47" spans="1:16" ht="43.2" x14ac:dyDescent="0.3">
      <c r="A47" s="1" t="s">
        <v>320</v>
      </c>
      <c r="B47" s="1" t="s">
        <v>169</v>
      </c>
      <c r="C47" s="1" t="s">
        <v>321</v>
      </c>
      <c r="D47" s="1" t="s">
        <v>322</v>
      </c>
      <c r="E47" s="1" t="s">
        <v>323</v>
      </c>
      <c r="F47" s="6" t="s">
        <v>25</v>
      </c>
      <c r="G47" s="1" t="s">
        <v>173</v>
      </c>
      <c r="H47" s="7" t="s">
        <v>24</v>
      </c>
      <c r="I47" s="1" t="s">
        <v>324</v>
      </c>
      <c r="J47" s="1" t="s">
        <v>325</v>
      </c>
      <c r="K47" s="1" t="s">
        <v>326</v>
      </c>
      <c r="L47" s="1" t="s">
        <v>59</v>
      </c>
      <c r="M47" s="8" t="s">
        <v>23</v>
      </c>
      <c r="N47" s="14" t="s">
        <v>2272</v>
      </c>
      <c r="O47" s="1" t="s">
        <v>59</v>
      </c>
      <c r="P47" s="1" t="s">
        <v>60</v>
      </c>
    </row>
    <row r="48" spans="1:16" ht="57.6" x14ac:dyDescent="0.3">
      <c r="A48" s="1" t="s">
        <v>327</v>
      </c>
      <c r="B48" s="1" t="s">
        <v>169</v>
      </c>
      <c r="C48" s="1" t="s">
        <v>321</v>
      </c>
      <c r="D48" s="1" t="s">
        <v>328</v>
      </c>
      <c r="E48" s="1" t="s">
        <v>329</v>
      </c>
      <c r="F48" s="6" t="s">
        <v>25</v>
      </c>
      <c r="G48" s="1" t="s">
        <v>330</v>
      </c>
      <c r="H48" s="7" t="s">
        <v>24</v>
      </c>
      <c r="I48" s="1" t="s">
        <v>331</v>
      </c>
      <c r="J48" s="1" t="s">
        <v>332</v>
      </c>
      <c r="K48" s="1" t="s">
        <v>333</v>
      </c>
      <c r="L48" s="1" t="s">
        <v>59</v>
      </c>
      <c r="M48" s="8" t="s">
        <v>23</v>
      </c>
      <c r="N48" s="14" t="s">
        <v>2272</v>
      </c>
      <c r="O48" s="1" t="s">
        <v>59</v>
      </c>
      <c r="P48" s="1" t="s">
        <v>60</v>
      </c>
    </row>
    <row r="49" spans="1:16" ht="57.6" x14ac:dyDescent="0.3">
      <c r="A49" s="1" t="s">
        <v>334</v>
      </c>
      <c r="B49" s="1" t="s">
        <v>169</v>
      </c>
      <c r="C49" s="1" t="s">
        <v>321</v>
      </c>
      <c r="D49" s="1" t="s">
        <v>335</v>
      </c>
      <c r="E49" s="1" t="s">
        <v>336</v>
      </c>
      <c r="F49" s="6" t="s">
        <v>25</v>
      </c>
      <c r="G49" s="1" t="s">
        <v>330</v>
      </c>
      <c r="H49" s="7" t="s">
        <v>24</v>
      </c>
      <c r="I49" s="1" t="s">
        <v>331</v>
      </c>
      <c r="J49" s="1" t="s">
        <v>337</v>
      </c>
      <c r="K49" s="1" t="s">
        <v>338</v>
      </c>
      <c r="L49" s="1" t="s">
        <v>59</v>
      </c>
      <c r="M49" s="8" t="s">
        <v>23</v>
      </c>
      <c r="N49" s="14" t="s">
        <v>2272</v>
      </c>
      <c r="O49" s="1" t="s">
        <v>59</v>
      </c>
      <c r="P49" s="1" t="s">
        <v>60</v>
      </c>
    </row>
    <row r="50" spans="1:16" ht="43.2" x14ac:dyDescent="0.3">
      <c r="A50" s="1" t="s">
        <v>339</v>
      </c>
      <c r="B50" s="1" t="s">
        <v>169</v>
      </c>
      <c r="C50" s="1" t="s">
        <v>321</v>
      </c>
      <c r="D50" s="1" t="s">
        <v>340</v>
      </c>
      <c r="E50" s="1" t="s">
        <v>341</v>
      </c>
      <c r="F50" s="6" t="s">
        <v>30</v>
      </c>
      <c r="G50" s="1" t="s">
        <v>342</v>
      </c>
      <c r="H50" s="7" t="s">
        <v>24</v>
      </c>
      <c r="I50" s="1" t="s">
        <v>343</v>
      </c>
      <c r="J50" s="1" t="s">
        <v>344</v>
      </c>
      <c r="K50" s="1" t="s">
        <v>345</v>
      </c>
      <c r="L50" s="1" t="s">
        <v>59</v>
      </c>
      <c r="M50" s="8" t="s">
        <v>23</v>
      </c>
      <c r="N50" s="14" t="s">
        <v>2272</v>
      </c>
      <c r="O50" s="1" t="s">
        <v>59</v>
      </c>
      <c r="P50" s="1" t="s">
        <v>101</v>
      </c>
    </row>
    <row r="51" spans="1:16" ht="86.4" x14ac:dyDescent="0.3">
      <c r="A51" s="1" t="s">
        <v>346</v>
      </c>
      <c r="B51" s="1" t="s">
        <v>169</v>
      </c>
      <c r="C51" s="1" t="s">
        <v>321</v>
      </c>
      <c r="D51" s="1" t="s">
        <v>347</v>
      </c>
      <c r="E51" s="1" t="s">
        <v>348</v>
      </c>
      <c r="F51" s="6" t="s">
        <v>25</v>
      </c>
      <c r="G51" s="1" t="s">
        <v>173</v>
      </c>
      <c r="H51" s="7" t="s">
        <v>27</v>
      </c>
      <c r="I51" s="1" t="s">
        <v>349</v>
      </c>
      <c r="J51" s="1" t="s">
        <v>350</v>
      </c>
      <c r="K51" s="1" t="s">
        <v>351</v>
      </c>
      <c r="L51" s="1" t="s">
        <v>59</v>
      </c>
      <c r="M51" s="8" t="s">
        <v>23</v>
      </c>
      <c r="N51" s="14" t="s">
        <v>2272</v>
      </c>
      <c r="O51" s="1" t="s">
        <v>59</v>
      </c>
      <c r="P51" s="1" t="s">
        <v>263</v>
      </c>
    </row>
    <row r="52" spans="1:16" ht="57.6" x14ac:dyDescent="0.3">
      <c r="A52" s="1" t="s">
        <v>352</v>
      </c>
      <c r="B52" s="1" t="s">
        <v>169</v>
      </c>
      <c r="C52" s="1" t="s">
        <v>321</v>
      </c>
      <c r="D52" s="1" t="s">
        <v>322</v>
      </c>
      <c r="E52" s="1" t="s">
        <v>353</v>
      </c>
      <c r="F52" s="6" t="s">
        <v>25</v>
      </c>
      <c r="G52" s="1" t="s">
        <v>173</v>
      </c>
      <c r="H52" s="7" t="s">
        <v>27</v>
      </c>
      <c r="I52" s="1" t="s">
        <v>354</v>
      </c>
      <c r="J52" s="1" t="s">
        <v>355</v>
      </c>
      <c r="K52" s="1" t="s">
        <v>356</v>
      </c>
      <c r="L52" s="1" t="s">
        <v>59</v>
      </c>
      <c r="M52" s="8" t="s">
        <v>23</v>
      </c>
      <c r="N52" s="14" t="s">
        <v>2272</v>
      </c>
      <c r="O52" s="1" t="s">
        <v>59</v>
      </c>
      <c r="P52" s="1" t="s">
        <v>88</v>
      </c>
    </row>
    <row r="53" spans="1:16" ht="57.6" x14ac:dyDescent="0.3">
      <c r="A53" s="1" t="s">
        <v>357</v>
      </c>
      <c r="B53" s="1" t="s">
        <v>169</v>
      </c>
      <c r="C53" s="1" t="s">
        <v>321</v>
      </c>
      <c r="D53" s="1" t="s">
        <v>335</v>
      </c>
      <c r="E53" s="1" t="s">
        <v>358</v>
      </c>
      <c r="F53" s="6" t="s">
        <v>28</v>
      </c>
      <c r="G53" s="1" t="s">
        <v>330</v>
      </c>
      <c r="H53" s="7" t="s">
        <v>27</v>
      </c>
      <c r="I53" s="1" t="s">
        <v>359</v>
      </c>
      <c r="J53" s="1" t="s">
        <v>360</v>
      </c>
      <c r="K53" s="1" t="s">
        <v>361</v>
      </c>
      <c r="L53" s="1" t="s">
        <v>59</v>
      </c>
      <c r="M53" s="8" t="s">
        <v>23</v>
      </c>
      <c r="N53" s="14" t="s">
        <v>2272</v>
      </c>
      <c r="O53" s="1" t="s">
        <v>59</v>
      </c>
      <c r="P53" s="1" t="s">
        <v>60</v>
      </c>
    </row>
    <row r="54" spans="1:16" ht="57.6" x14ac:dyDescent="0.3">
      <c r="A54" s="1" t="s">
        <v>362</v>
      </c>
      <c r="B54" s="1" t="s">
        <v>169</v>
      </c>
      <c r="C54" s="1" t="s">
        <v>321</v>
      </c>
      <c r="D54" s="1" t="s">
        <v>363</v>
      </c>
      <c r="E54" s="1" t="s">
        <v>364</v>
      </c>
      <c r="F54" s="6" t="s">
        <v>31</v>
      </c>
      <c r="G54" s="1" t="s">
        <v>330</v>
      </c>
      <c r="H54" s="7" t="s">
        <v>24</v>
      </c>
      <c r="I54" s="1" t="s">
        <v>365</v>
      </c>
      <c r="J54" s="1" t="s">
        <v>366</v>
      </c>
      <c r="K54" s="1" t="s">
        <v>367</v>
      </c>
      <c r="L54" s="1" t="s">
        <v>59</v>
      </c>
      <c r="M54" s="8" t="s">
        <v>23</v>
      </c>
      <c r="N54" s="14" t="s">
        <v>2272</v>
      </c>
      <c r="O54" s="1" t="s">
        <v>59</v>
      </c>
      <c r="P54" s="1" t="s">
        <v>81</v>
      </c>
    </row>
    <row r="55" spans="1:16" ht="57.6" x14ac:dyDescent="0.3">
      <c r="A55" s="1" t="s">
        <v>368</v>
      </c>
      <c r="B55" s="1" t="s">
        <v>169</v>
      </c>
      <c r="C55" s="1" t="s">
        <v>321</v>
      </c>
      <c r="D55" s="1" t="s">
        <v>363</v>
      </c>
      <c r="E55" s="1" t="s">
        <v>369</v>
      </c>
      <c r="F55" s="6" t="s">
        <v>31</v>
      </c>
      <c r="G55" s="1" t="s">
        <v>330</v>
      </c>
      <c r="H55" s="7" t="s">
        <v>24</v>
      </c>
      <c r="I55" s="1" t="s">
        <v>370</v>
      </c>
      <c r="J55" s="1" t="s">
        <v>371</v>
      </c>
      <c r="K55" s="1" t="s">
        <v>372</v>
      </c>
      <c r="L55" s="1" t="s">
        <v>59</v>
      </c>
      <c r="M55" s="8" t="s">
        <v>23</v>
      </c>
      <c r="N55" s="14" t="s">
        <v>2272</v>
      </c>
      <c r="O55" s="1" t="s">
        <v>59</v>
      </c>
      <c r="P55" s="1" t="s">
        <v>81</v>
      </c>
    </row>
    <row r="56" spans="1:16" ht="57.6" x14ac:dyDescent="0.3">
      <c r="A56" s="1" t="s">
        <v>373</v>
      </c>
      <c r="B56" s="1" t="s">
        <v>169</v>
      </c>
      <c r="C56" s="1" t="s">
        <v>321</v>
      </c>
      <c r="D56" s="1" t="s">
        <v>374</v>
      </c>
      <c r="E56" s="1" t="s">
        <v>375</v>
      </c>
      <c r="F56" s="6" t="s">
        <v>28</v>
      </c>
      <c r="G56" s="1" t="s">
        <v>330</v>
      </c>
      <c r="H56" s="7" t="s">
        <v>24</v>
      </c>
      <c r="I56" s="1" t="s">
        <v>376</v>
      </c>
      <c r="J56" s="1" t="s">
        <v>377</v>
      </c>
      <c r="K56" s="1" t="s">
        <v>378</v>
      </c>
      <c r="L56" s="1" t="s">
        <v>59</v>
      </c>
      <c r="M56" s="8" t="s">
        <v>23</v>
      </c>
      <c r="N56" s="14" t="s">
        <v>2272</v>
      </c>
      <c r="O56" s="1" t="s">
        <v>59</v>
      </c>
      <c r="P56" s="1" t="s">
        <v>88</v>
      </c>
    </row>
    <row r="57" spans="1:16" ht="43.2" x14ac:dyDescent="0.3">
      <c r="A57" s="1" t="s">
        <v>379</v>
      </c>
      <c r="B57" s="1" t="s">
        <v>169</v>
      </c>
      <c r="C57" s="1" t="s">
        <v>321</v>
      </c>
      <c r="D57" s="1" t="s">
        <v>380</v>
      </c>
      <c r="E57" s="1" t="s">
        <v>381</v>
      </c>
      <c r="F57" s="6" t="s">
        <v>25</v>
      </c>
      <c r="G57" s="1" t="s">
        <v>382</v>
      </c>
      <c r="H57" s="7" t="s">
        <v>27</v>
      </c>
      <c r="I57" s="1" t="s">
        <v>383</v>
      </c>
      <c r="J57" s="1" t="s">
        <v>384</v>
      </c>
      <c r="K57" s="1" t="s">
        <v>385</v>
      </c>
      <c r="L57" s="1" t="s">
        <v>59</v>
      </c>
      <c r="M57" s="8" t="s">
        <v>23</v>
      </c>
      <c r="N57" s="14" t="s">
        <v>2272</v>
      </c>
      <c r="O57" s="1" t="s">
        <v>59</v>
      </c>
      <c r="P57" s="1" t="s">
        <v>263</v>
      </c>
    </row>
    <row r="58" spans="1:16" ht="43.2" x14ac:dyDescent="0.3">
      <c r="A58" s="1" t="s">
        <v>386</v>
      </c>
      <c r="B58" s="1" t="s">
        <v>169</v>
      </c>
      <c r="C58" s="1" t="s">
        <v>321</v>
      </c>
      <c r="D58" s="1" t="s">
        <v>387</v>
      </c>
      <c r="E58" s="1" t="s">
        <v>388</v>
      </c>
      <c r="F58" s="6" t="s">
        <v>30</v>
      </c>
      <c r="G58" s="1" t="s">
        <v>389</v>
      </c>
      <c r="H58" s="7" t="s">
        <v>24</v>
      </c>
      <c r="I58" s="1" t="s">
        <v>390</v>
      </c>
      <c r="J58" s="1" t="s">
        <v>391</v>
      </c>
      <c r="K58" s="1" t="s">
        <v>392</v>
      </c>
      <c r="L58" s="1" t="s">
        <v>59</v>
      </c>
      <c r="M58" s="8" t="s">
        <v>23</v>
      </c>
      <c r="N58" s="14" t="s">
        <v>2272</v>
      </c>
      <c r="O58" s="1" t="s">
        <v>59</v>
      </c>
      <c r="P58" s="1" t="s">
        <v>101</v>
      </c>
    </row>
    <row r="59" spans="1:16" ht="72" x14ac:dyDescent="0.3">
      <c r="A59" s="1" t="s">
        <v>393</v>
      </c>
      <c r="B59" s="1" t="s">
        <v>394</v>
      </c>
      <c r="C59" s="1" t="s">
        <v>395</v>
      </c>
      <c r="D59" s="1" t="s">
        <v>396</v>
      </c>
      <c r="E59" s="1" t="s">
        <v>397</v>
      </c>
      <c r="F59" s="6" t="s">
        <v>25</v>
      </c>
      <c r="G59" s="1" t="s">
        <v>173</v>
      </c>
      <c r="H59" s="7" t="s">
        <v>24</v>
      </c>
      <c r="I59" s="1" t="s">
        <v>398</v>
      </c>
      <c r="J59" s="1" t="s">
        <v>399</v>
      </c>
      <c r="K59" s="1" t="s">
        <v>400</v>
      </c>
      <c r="L59" s="1" t="s">
        <v>59</v>
      </c>
      <c r="M59" s="8" t="s">
        <v>23</v>
      </c>
      <c r="N59" s="14" t="s">
        <v>2272</v>
      </c>
      <c r="O59" s="1" t="s">
        <v>59</v>
      </c>
      <c r="P59" s="1" t="s">
        <v>60</v>
      </c>
    </row>
    <row r="60" spans="1:16" ht="57.6" x14ac:dyDescent="0.3">
      <c r="A60" s="1" t="s">
        <v>401</v>
      </c>
      <c r="B60" s="1" t="s">
        <v>394</v>
      </c>
      <c r="C60" s="1" t="s">
        <v>395</v>
      </c>
      <c r="D60" s="1" t="s">
        <v>402</v>
      </c>
      <c r="E60" s="1" t="s">
        <v>403</v>
      </c>
      <c r="F60" s="6" t="s">
        <v>25</v>
      </c>
      <c r="G60" s="1" t="s">
        <v>180</v>
      </c>
      <c r="H60" s="7" t="s">
        <v>24</v>
      </c>
      <c r="I60" s="1" t="s">
        <v>404</v>
      </c>
      <c r="J60" s="1" t="s">
        <v>405</v>
      </c>
      <c r="K60" s="1" t="s">
        <v>406</v>
      </c>
      <c r="L60" s="1" t="s">
        <v>59</v>
      </c>
      <c r="M60" s="8" t="s">
        <v>23</v>
      </c>
      <c r="N60" s="14" t="s">
        <v>2272</v>
      </c>
      <c r="O60" s="1" t="s">
        <v>59</v>
      </c>
      <c r="P60" s="1" t="s">
        <v>60</v>
      </c>
    </row>
    <row r="61" spans="1:16" ht="43.2" x14ac:dyDescent="0.3">
      <c r="A61" s="1" t="s">
        <v>407</v>
      </c>
      <c r="B61" s="1" t="s">
        <v>394</v>
      </c>
      <c r="C61" s="1" t="s">
        <v>395</v>
      </c>
      <c r="D61" s="1" t="s">
        <v>408</v>
      </c>
      <c r="E61" s="1" t="s">
        <v>409</v>
      </c>
      <c r="F61" s="6" t="s">
        <v>25</v>
      </c>
      <c r="G61" s="1" t="s">
        <v>180</v>
      </c>
      <c r="H61" s="7" t="s">
        <v>24</v>
      </c>
      <c r="I61" s="1" t="s">
        <v>410</v>
      </c>
      <c r="J61" s="1" t="s">
        <v>411</v>
      </c>
      <c r="K61" s="1" t="s">
        <v>412</v>
      </c>
      <c r="L61" s="1" t="s">
        <v>59</v>
      </c>
      <c r="M61" s="8" t="s">
        <v>23</v>
      </c>
      <c r="N61" s="14" t="s">
        <v>2272</v>
      </c>
      <c r="O61" s="1" t="s">
        <v>59</v>
      </c>
      <c r="P61" s="1" t="s">
        <v>60</v>
      </c>
    </row>
    <row r="62" spans="1:16" ht="57.6" x14ac:dyDescent="0.3">
      <c r="A62" s="1" t="s">
        <v>413</v>
      </c>
      <c r="B62" s="1" t="s">
        <v>394</v>
      </c>
      <c r="C62" s="1" t="s">
        <v>395</v>
      </c>
      <c r="D62" s="1" t="s">
        <v>414</v>
      </c>
      <c r="E62" s="1" t="s">
        <v>415</v>
      </c>
      <c r="F62" s="6" t="s">
        <v>31</v>
      </c>
      <c r="G62" s="1" t="s">
        <v>416</v>
      </c>
      <c r="H62" s="7" t="s">
        <v>24</v>
      </c>
      <c r="I62" s="1" t="s">
        <v>417</v>
      </c>
      <c r="J62" s="1" t="s">
        <v>418</v>
      </c>
      <c r="K62" s="1" t="s">
        <v>419</v>
      </c>
      <c r="L62" s="1" t="s">
        <v>59</v>
      </c>
      <c r="M62" s="8" t="s">
        <v>23</v>
      </c>
      <c r="N62" s="14" t="s">
        <v>2272</v>
      </c>
      <c r="O62" s="1" t="s">
        <v>59</v>
      </c>
      <c r="P62" s="1" t="s">
        <v>60</v>
      </c>
    </row>
    <row r="63" spans="1:16" ht="43.2" x14ac:dyDescent="0.3">
      <c r="A63" s="1" t="s">
        <v>420</v>
      </c>
      <c r="B63" s="1" t="s">
        <v>394</v>
      </c>
      <c r="C63" s="1" t="s">
        <v>395</v>
      </c>
      <c r="D63" s="1" t="s">
        <v>421</v>
      </c>
      <c r="E63" s="1" t="s">
        <v>422</v>
      </c>
      <c r="F63" s="6" t="s">
        <v>30</v>
      </c>
      <c r="G63" s="1" t="s">
        <v>180</v>
      </c>
      <c r="H63" s="7" t="s">
        <v>27</v>
      </c>
      <c r="I63" s="1" t="s">
        <v>423</v>
      </c>
      <c r="J63" s="1" t="s">
        <v>424</v>
      </c>
      <c r="K63" s="1" t="s">
        <v>425</v>
      </c>
      <c r="L63" s="1" t="s">
        <v>59</v>
      </c>
      <c r="M63" s="8" t="s">
        <v>23</v>
      </c>
      <c r="N63" s="14" t="s">
        <v>2272</v>
      </c>
      <c r="O63" s="1" t="s">
        <v>59</v>
      </c>
      <c r="P63" s="1" t="s">
        <v>81</v>
      </c>
    </row>
    <row r="64" spans="1:16" ht="57.6" x14ac:dyDescent="0.3">
      <c r="A64" s="1" t="s">
        <v>426</v>
      </c>
      <c r="B64" s="1" t="s">
        <v>394</v>
      </c>
      <c r="C64" s="1" t="s">
        <v>395</v>
      </c>
      <c r="D64" s="1" t="s">
        <v>427</v>
      </c>
      <c r="E64" s="1" t="s">
        <v>428</v>
      </c>
      <c r="F64" s="6" t="s">
        <v>31</v>
      </c>
      <c r="G64" s="1" t="s">
        <v>180</v>
      </c>
      <c r="H64" s="7" t="s">
        <v>24</v>
      </c>
      <c r="I64" s="1" t="s">
        <v>429</v>
      </c>
      <c r="J64" s="1" t="s">
        <v>430</v>
      </c>
      <c r="K64" s="1" t="s">
        <v>431</v>
      </c>
      <c r="L64" s="1" t="s">
        <v>59</v>
      </c>
      <c r="M64" s="8" t="s">
        <v>23</v>
      </c>
      <c r="N64" s="14" t="s">
        <v>2272</v>
      </c>
      <c r="O64" s="1" t="s">
        <v>59</v>
      </c>
      <c r="P64" s="1" t="s">
        <v>263</v>
      </c>
    </row>
    <row r="65" spans="1:16" ht="57.6" x14ac:dyDescent="0.3">
      <c r="A65" s="1" t="s">
        <v>432</v>
      </c>
      <c r="B65" s="1" t="s">
        <v>394</v>
      </c>
      <c r="C65" s="1" t="s">
        <v>395</v>
      </c>
      <c r="D65" s="1" t="s">
        <v>433</v>
      </c>
      <c r="E65" s="1" t="s">
        <v>434</v>
      </c>
      <c r="F65" s="6" t="s">
        <v>25</v>
      </c>
      <c r="G65" s="1" t="s">
        <v>173</v>
      </c>
      <c r="H65" s="7" t="s">
        <v>27</v>
      </c>
      <c r="I65" s="1" t="s">
        <v>435</v>
      </c>
      <c r="J65" s="1" t="s">
        <v>436</v>
      </c>
      <c r="K65" s="1" t="s">
        <v>437</v>
      </c>
      <c r="L65" s="1" t="s">
        <v>59</v>
      </c>
      <c r="M65" s="8" t="s">
        <v>23</v>
      </c>
      <c r="N65" s="14" t="s">
        <v>2272</v>
      </c>
      <c r="O65" s="1" t="s">
        <v>59</v>
      </c>
      <c r="P65" s="1" t="s">
        <v>60</v>
      </c>
    </row>
    <row r="66" spans="1:16" ht="57.6" x14ac:dyDescent="0.3">
      <c r="A66" s="1" t="s">
        <v>438</v>
      </c>
      <c r="B66" s="1" t="s">
        <v>394</v>
      </c>
      <c r="C66" s="1" t="s">
        <v>395</v>
      </c>
      <c r="D66" s="1" t="s">
        <v>439</v>
      </c>
      <c r="E66" s="1" t="s">
        <v>440</v>
      </c>
      <c r="F66" s="6" t="s">
        <v>28</v>
      </c>
      <c r="G66" s="1" t="s">
        <v>416</v>
      </c>
      <c r="H66" s="7" t="s">
        <v>24</v>
      </c>
      <c r="I66" s="1" t="s">
        <v>410</v>
      </c>
      <c r="J66" s="1" t="s">
        <v>441</v>
      </c>
      <c r="K66" s="1" t="s">
        <v>442</v>
      </c>
      <c r="L66" s="1" t="s">
        <v>59</v>
      </c>
      <c r="M66" s="8" t="s">
        <v>23</v>
      </c>
      <c r="N66" s="14" t="s">
        <v>2272</v>
      </c>
      <c r="O66" s="1" t="s">
        <v>59</v>
      </c>
      <c r="P66" s="1" t="s">
        <v>81</v>
      </c>
    </row>
    <row r="67" spans="1:16" ht="57.6" x14ac:dyDescent="0.3">
      <c r="A67" s="1" t="s">
        <v>443</v>
      </c>
      <c r="B67" s="1" t="s">
        <v>394</v>
      </c>
      <c r="C67" s="1" t="s">
        <v>395</v>
      </c>
      <c r="D67" s="1" t="s">
        <v>444</v>
      </c>
      <c r="E67" s="1" t="s">
        <v>445</v>
      </c>
      <c r="F67" s="6" t="s">
        <v>31</v>
      </c>
      <c r="G67" s="1" t="s">
        <v>180</v>
      </c>
      <c r="H67" s="7" t="s">
        <v>24</v>
      </c>
      <c r="I67" s="1" t="s">
        <v>446</v>
      </c>
      <c r="J67" s="1" t="s">
        <v>447</v>
      </c>
      <c r="K67" s="1" t="s">
        <v>448</v>
      </c>
      <c r="L67" s="1" t="s">
        <v>59</v>
      </c>
      <c r="M67" s="8" t="s">
        <v>23</v>
      </c>
      <c r="N67" s="14" t="s">
        <v>2272</v>
      </c>
      <c r="O67" s="1" t="s">
        <v>59</v>
      </c>
      <c r="P67" s="1" t="s">
        <v>263</v>
      </c>
    </row>
    <row r="68" spans="1:16" ht="43.2" x14ac:dyDescent="0.3">
      <c r="A68" s="1" t="s">
        <v>449</v>
      </c>
      <c r="B68" s="1" t="s">
        <v>394</v>
      </c>
      <c r="C68" s="1" t="s">
        <v>395</v>
      </c>
      <c r="D68" s="1" t="s">
        <v>450</v>
      </c>
      <c r="E68" s="1" t="s">
        <v>451</v>
      </c>
      <c r="F68" s="6" t="s">
        <v>30</v>
      </c>
      <c r="G68" s="1" t="s">
        <v>186</v>
      </c>
      <c r="H68" s="7" t="s">
        <v>27</v>
      </c>
      <c r="I68" s="1" t="s">
        <v>452</v>
      </c>
      <c r="J68" s="1" t="s">
        <v>453</v>
      </c>
      <c r="K68" s="1" t="s">
        <v>454</v>
      </c>
      <c r="L68" s="1" t="s">
        <v>59</v>
      </c>
      <c r="M68" s="8" t="s">
        <v>23</v>
      </c>
      <c r="N68" s="14" t="s">
        <v>2272</v>
      </c>
      <c r="O68" s="1" t="s">
        <v>59</v>
      </c>
      <c r="P68" s="1" t="s">
        <v>101</v>
      </c>
    </row>
    <row r="69" spans="1:16" ht="43.2" x14ac:dyDescent="0.3">
      <c r="A69" s="1" t="s">
        <v>455</v>
      </c>
      <c r="B69" s="1" t="s">
        <v>394</v>
      </c>
      <c r="C69" s="1" t="s">
        <v>395</v>
      </c>
      <c r="D69" s="1" t="s">
        <v>456</v>
      </c>
      <c r="E69" s="1" t="s">
        <v>457</v>
      </c>
      <c r="F69" s="6" t="s">
        <v>25</v>
      </c>
      <c r="G69" s="1" t="s">
        <v>416</v>
      </c>
      <c r="H69" s="7" t="s">
        <v>27</v>
      </c>
      <c r="I69" s="1" t="s">
        <v>458</v>
      </c>
      <c r="J69" s="1" t="s">
        <v>459</v>
      </c>
      <c r="K69" s="1" t="s">
        <v>460</v>
      </c>
      <c r="L69" s="1" t="s">
        <v>59</v>
      </c>
      <c r="M69" s="8" t="s">
        <v>23</v>
      </c>
      <c r="N69" s="14" t="s">
        <v>2272</v>
      </c>
      <c r="O69" s="1" t="s">
        <v>59</v>
      </c>
      <c r="P69" s="1" t="s">
        <v>60</v>
      </c>
    </row>
    <row r="70" spans="1:16" ht="57.6" x14ac:dyDescent="0.3">
      <c r="A70" s="1" t="s">
        <v>461</v>
      </c>
      <c r="B70" s="1" t="s">
        <v>394</v>
      </c>
      <c r="C70" s="1" t="s">
        <v>395</v>
      </c>
      <c r="D70" s="1" t="s">
        <v>387</v>
      </c>
      <c r="E70" s="1" t="s">
        <v>462</v>
      </c>
      <c r="F70" s="6" t="s">
        <v>30</v>
      </c>
      <c r="G70" s="1" t="s">
        <v>173</v>
      </c>
      <c r="H70" s="7" t="s">
        <v>24</v>
      </c>
      <c r="I70" s="1" t="s">
        <v>463</v>
      </c>
      <c r="J70" s="1" t="s">
        <v>464</v>
      </c>
      <c r="K70" s="1" t="s">
        <v>465</v>
      </c>
      <c r="L70" s="1" t="s">
        <v>59</v>
      </c>
      <c r="M70" s="8" t="s">
        <v>23</v>
      </c>
      <c r="N70" s="14" t="s">
        <v>2272</v>
      </c>
      <c r="O70" s="1" t="s">
        <v>59</v>
      </c>
      <c r="P70" s="1" t="s">
        <v>101</v>
      </c>
    </row>
    <row r="71" spans="1:16" ht="57.6" x14ac:dyDescent="0.3">
      <c r="A71" s="1" t="s">
        <v>466</v>
      </c>
      <c r="B71" s="1" t="s">
        <v>394</v>
      </c>
      <c r="C71" s="1" t="s">
        <v>467</v>
      </c>
      <c r="D71" s="1" t="s">
        <v>468</v>
      </c>
      <c r="E71" s="1" t="s">
        <v>469</v>
      </c>
      <c r="F71" s="6" t="s">
        <v>25</v>
      </c>
      <c r="G71" s="1" t="s">
        <v>193</v>
      </c>
      <c r="H71" s="7" t="s">
        <v>24</v>
      </c>
      <c r="I71" s="1" t="s">
        <v>470</v>
      </c>
      <c r="J71" s="1" t="s">
        <v>471</v>
      </c>
      <c r="K71" s="1" t="s">
        <v>472</v>
      </c>
      <c r="L71" s="1" t="s">
        <v>473</v>
      </c>
      <c r="M71" s="8" t="s">
        <v>23</v>
      </c>
      <c r="N71" s="14" t="s">
        <v>2272</v>
      </c>
      <c r="O71" s="1" t="s">
        <v>59</v>
      </c>
      <c r="P71" s="1" t="s">
        <v>60</v>
      </c>
    </row>
    <row r="72" spans="1:16" ht="43.2" x14ac:dyDescent="0.3">
      <c r="A72" s="1" t="s">
        <v>474</v>
      </c>
      <c r="B72" s="1" t="s">
        <v>394</v>
      </c>
      <c r="C72" s="1" t="s">
        <v>467</v>
      </c>
      <c r="D72" s="1" t="s">
        <v>475</v>
      </c>
      <c r="E72" s="1" t="s">
        <v>476</v>
      </c>
      <c r="F72" s="6" t="s">
        <v>28</v>
      </c>
      <c r="G72" s="1" t="s">
        <v>193</v>
      </c>
      <c r="H72" s="7" t="s">
        <v>24</v>
      </c>
      <c r="I72" s="1" t="s">
        <v>477</v>
      </c>
      <c r="J72" s="1" t="s">
        <v>478</v>
      </c>
      <c r="K72" s="1" t="s">
        <v>479</v>
      </c>
      <c r="L72" s="1" t="s">
        <v>59</v>
      </c>
      <c r="M72" s="8" t="s">
        <v>23</v>
      </c>
      <c r="N72" s="14" t="s">
        <v>2272</v>
      </c>
      <c r="O72" s="1" t="s">
        <v>59</v>
      </c>
      <c r="P72" s="1" t="s">
        <v>60</v>
      </c>
    </row>
    <row r="73" spans="1:16" ht="57.6" x14ac:dyDescent="0.3">
      <c r="A73" s="1" t="s">
        <v>480</v>
      </c>
      <c r="B73" s="1" t="s">
        <v>394</v>
      </c>
      <c r="C73" s="1" t="s">
        <v>467</v>
      </c>
      <c r="D73" s="1" t="s">
        <v>481</v>
      </c>
      <c r="E73" s="1" t="s">
        <v>482</v>
      </c>
      <c r="F73" s="6" t="s">
        <v>31</v>
      </c>
      <c r="G73" s="1" t="s">
        <v>193</v>
      </c>
      <c r="H73" s="7" t="s">
        <v>24</v>
      </c>
      <c r="I73" s="1" t="s">
        <v>483</v>
      </c>
      <c r="J73" s="1" t="s">
        <v>484</v>
      </c>
      <c r="K73" s="1" t="s">
        <v>485</v>
      </c>
      <c r="L73" s="1" t="s">
        <v>59</v>
      </c>
      <c r="M73" s="8" t="s">
        <v>23</v>
      </c>
      <c r="N73" s="14" t="s">
        <v>2272</v>
      </c>
      <c r="O73" s="1" t="s">
        <v>59</v>
      </c>
      <c r="P73" s="1" t="s">
        <v>60</v>
      </c>
    </row>
    <row r="74" spans="1:16" ht="43.2" x14ac:dyDescent="0.3">
      <c r="A74" s="1" t="s">
        <v>486</v>
      </c>
      <c r="B74" s="1" t="s">
        <v>394</v>
      </c>
      <c r="C74" s="1" t="s">
        <v>467</v>
      </c>
      <c r="D74" s="1" t="s">
        <v>487</v>
      </c>
      <c r="E74" s="1" t="s">
        <v>488</v>
      </c>
      <c r="F74" s="6" t="s">
        <v>25</v>
      </c>
      <c r="G74" s="1" t="s">
        <v>173</v>
      </c>
      <c r="H74" s="7" t="s">
        <v>27</v>
      </c>
      <c r="I74" s="1" t="s">
        <v>489</v>
      </c>
      <c r="J74" s="1" t="s">
        <v>490</v>
      </c>
      <c r="K74" s="1" t="s">
        <v>491</v>
      </c>
      <c r="L74" s="1" t="s">
        <v>59</v>
      </c>
      <c r="M74" s="8" t="s">
        <v>23</v>
      </c>
      <c r="N74" s="14" t="s">
        <v>2272</v>
      </c>
      <c r="O74" s="1" t="s">
        <v>59</v>
      </c>
      <c r="P74" s="1" t="s">
        <v>60</v>
      </c>
    </row>
    <row r="75" spans="1:16" ht="57.6" x14ac:dyDescent="0.3">
      <c r="A75" s="1" t="s">
        <v>492</v>
      </c>
      <c r="B75" s="1" t="s">
        <v>394</v>
      </c>
      <c r="C75" s="1" t="s">
        <v>467</v>
      </c>
      <c r="D75" s="1" t="s">
        <v>493</v>
      </c>
      <c r="E75" s="1" t="s">
        <v>494</v>
      </c>
      <c r="F75" s="6" t="s">
        <v>25</v>
      </c>
      <c r="G75" s="1" t="s">
        <v>180</v>
      </c>
      <c r="H75" s="7" t="s">
        <v>27</v>
      </c>
      <c r="I75" s="1" t="s">
        <v>495</v>
      </c>
      <c r="J75" s="1" t="s">
        <v>496</v>
      </c>
      <c r="K75" s="1" t="s">
        <v>497</v>
      </c>
      <c r="L75" s="1" t="s">
        <v>59</v>
      </c>
      <c r="M75" s="8" t="s">
        <v>23</v>
      </c>
      <c r="N75" s="14" t="s">
        <v>2272</v>
      </c>
      <c r="O75" s="1" t="s">
        <v>59</v>
      </c>
      <c r="P75" s="1" t="s">
        <v>263</v>
      </c>
    </row>
    <row r="76" spans="1:16" ht="57.6" x14ac:dyDescent="0.3">
      <c r="A76" s="1" t="s">
        <v>498</v>
      </c>
      <c r="B76" s="1" t="s">
        <v>394</v>
      </c>
      <c r="C76" s="1" t="s">
        <v>467</v>
      </c>
      <c r="D76" s="1" t="s">
        <v>499</v>
      </c>
      <c r="E76" s="1" t="s">
        <v>500</v>
      </c>
      <c r="F76" s="6" t="s">
        <v>25</v>
      </c>
      <c r="G76" s="1" t="s">
        <v>193</v>
      </c>
      <c r="H76" s="7" t="s">
        <v>27</v>
      </c>
      <c r="I76" s="1" t="s">
        <v>501</v>
      </c>
      <c r="J76" s="1" t="s">
        <v>502</v>
      </c>
      <c r="K76" s="1" t="s">
        <v>503</v>
      </c>
      <c r="L76" s="1" t="s">
        <v>59</v>
      </c>
      <c r="M76" s="8" t="s">
        <v>23</v>
      </c>
      <c r="N76" s="14" t="s">
        <v>2272</v>
      </c>
      <c r="O76" s="1" t="s">
        <v>59</v>
      </c>
      <c r="P76" s="1" t="s">
        <v>60</v>
      </c>
    </row>
    <row r="77" spans="1:16" ht="43.2" x14ac:dyDescent="0.3">
      <c r="A77" s="1" t="s">
        <v>504</v>
      </c>
      <c r="B77" s="1" t="s">
        <v>394</v>
      </c>
      <c r="C77" s="1" t="s">
        <v>467</v>
      </c>
      <c r="D77" s="1" t="s">
        <v>505</v>
      </c>
      <c r="E77" s="1" t="s">
        <v>506</v>
      </c>
      <c r="F77" s="6" t="s">
        <v>28</v>
      </c>
      <c r="G77" s="1" t="s">
        <v>193</v>
      </c>
      <c r="H77" s="7" t="s">
        <v>24</v>
      </c>
      <c r="I77" s="1" t="s">
        <v>507</v>
      </c>
      <c r="J77" s="1" t="s">
        <v>508</v>
      </c>
      <c r="K77" s="1" t="s">
        <v>509</v>
      </c>
      <c r="L77" s="1" t="s">
        <v>510</v>
      </c>
      <c r="M77" s="8" t="s">
        <v>23</v>
      </c>
      <c r="N77" s="14" t="s">
        <v>2272</v>
      </c>
      <c r="O77" s="1" t="s">
        <v>59</v>
      </c>
      <c r="P77" s="1" t="s">
        <v>60</v>
      </c>
    </row>
    <row r="78" spans="1:16" ht="57.6" x14ac:dyDescent="0.3">
      <c r="A78" s="1" t="s">
        <v>511</v>
      </c>
      <c r="B78" s="1" t="s">
        <v>394</v>
      </c>
      <c r="C78" s="1" t="s">
        <v>467</v>
      </c>
      <c r="D78" s="1" t="s">
        <v>512</v>
      </c>
      <c r="E78" s="1" t="s">
        <v>513</v>
      </c>
      <c r="F78" s="6" t="s">
        <v>28</v>
      </c>
      <c r="G78" s="1" t="s">
        <v>180</v>
      </c>
      <c r="H78" s="7" t="s">
        <v>27</v>
      </c>
      <c r="I78" s="1" t="s">
        <v>514</v>
      </c>
      <c r="J78" s="1" t="s">
        <v>515</v>
      </c>
      <c r="K78" s="1" t="s">
        <v>516</v>
      </c>
      <c r="L78" s="1" t="s">
        <v>59</v>
      </c>
      <c r="M78" s="8" t="s">
        <v>23</v>
      </c>
      <c r="N78" s="14" t="s">
        <v>2272</v>
      </c>
      <c r="O78" s="1" t="s">
        <v>59</v>
      </c>
      <c r="P78" s="1" t="s">
        <v>88</v>
      </c>
    </row>
    <row r="79" spans="1:16" ht="57.6" x14ac:dyDescent="0.3">
      <c r="A79" s="1" t="s">
        <v>517</v>
      </c>
      <c r="B79" s="1" t="s">
        <v>394</v>
      </c>
      <c r="C79" s="1" t="s">
        <v>467</v>
      </c>
      <c r="D79" s="1" t="s">
        <v>518</v>
      </c>
      <c r="E79" s="1" t="s">
        <v>519</v>
      </c>
      <c r="F79" s="6" t="s">
        <v>25</v>
      </c>
      <c r="G79" s="1" t="s">
        <v>173</v>
      </c>
      <c r="H79" s="7" t="s">
        <v>29</v>
      </c>
      <c r="I79" s="1" t="s">
        <v>520</v>
      </c>
      <c r="J79" s="1" t="s">
        <v>521</v>
      </c>
      <c r="K79" s="1" t="s">
        <v>522</v>
      </c>
      <c r="L79" s="1" t="s">
        <v>59</v>
      </c>
      <c r="M79" s="8" t="s">
        <v>23</v>
      </c>
      <c r="N79" s="14" t="s">
        <v>2272</v>
      </c>
      <c r="O79" s="1" t="s">
        <v>59</v>
      </c>
      <c r="P79" s="1" t="s">
        <v>263</v>
      </c>
    </row>
    <row r="80" spans="1:16" ht="43.2" x14ac:dyDescent="0.3">
      <c r="A80" s="1" t="s">
        <v>523</v>
      </c>
      <c r="B80" s="1" t="s">
        <v>394</v>
      </c>
      <c r="C80" s="1" t="s">
        <v>467</v>
      </c>
      <c r="D80" s="1" t="s">
        <v>524</v>
      </c>
      <c r="E80" s="1" t="s">
        <v>525</v>
      </c>
      <c r="F80" s="6" t="s">
        <v>30</v>
      </c>
      <c r="G80" s="1" t="s">
        <v>186</v>
      </c>
      <c r="H80" s="7" t="s">
        <v>27</v>
      </c>
      <c r="I80" s="1" t="s">
        <v>526</v>
      </c>
      <c r="J80" s="1" t="s">
        <v>527</v>
      </c>
      <c r="K80" s="1" t="s">
        <v>528</v>
      </c>
      <c r="L80" s="1" t="s">
        <v>59</v>
      </c>
      <c r="M80" s="8" t="s">
        <v>23</v>
      </c>
      <c r="N80" s="14" t="s">
        <v>2272</v>
      </c>
      <c r="O80" s="1" t="s">
        <v>59</v>
      </c>
      <c r="P80" s="1" t="s">
        <v>101</v>
      </c>
    </row>
    <row r="81" spans="1:16" ht="43.2" x14ac:dyDescent="0.3">
      <c r="A81" s="1" t="s">
        <v>529</v>
      </c>
      <c r="B81" s="1" t="s">
        <v>394</v>
      </c>
      <c r="C81" s="1" t="s">
        <v>530</v>
      </c>
      <c r="D81" s="1" t="s">
        <v>531</v>
      </c>
      <c r="E81" s="1" t="s">
        <v>532</v>
      </c>
      <c r="F81" s="6" t="s">
        <v>25</v>
      </c>
      <c r="G81" s="1" t="s">
        <v>97</v>
      </c>
      <c r="H81" s="7" t="s">
        <v>24</v>
      </c>
      <c r="I81" s="1" t="s">
        <v>533</v>
      </c>
      <c r="J81" s="1" t="s">
        <v>534</v>
      </c>
      <c r="K81" s="1" t="s">
        <v>535</v>
      </c>
      <c r="L81" s="1" t="s">
        <v>59</v>
      </c>
      <c r="M81" s="8" t="s">
        <v>23</v>
      </c>
      <c r="N81" s="14" t="s">
        <v>2272</v>
      </c>
      <c r="O81" s="1" t="s">
        <v>59</v>
      </c>
      <c r="P81" s="1" t="s">
        <v>60</v>
      </c>
    </row>
    <row r="82" spans="1:16" ht="57.6" x14ac:dyDescent="0.3">
      <c r="A82" s="1" t="s">
        <v>536</v>
      </c>
      <c r="B82" s="1" t="s">
        <v>394</v>
      </c>
      <c r="C82" s="1" t="s">
        <v>530</v>
      </c>
      <c r="D82" s="1" t="s">
        <v>524</v>
      </c>
      <c r="E82" s="1" t="s">
        <v>537</v>
      </c>
      <c r="F82" s="6" t="s">
        <v>30</v>
      </c>
      <c r="G82" s="1" t="s">
        <v>538</v>
      </c>
      <c r="H82" s="7" t="s">
        <v>27</v>
      </c>
      <c r="I82" s="1" t="s">
        <v>539</v>
      </c>
      <c r="J82" s="1" t="s">
        <v>540</v>
      </c>
      <c r="K82" s="1" t="s">
        <v>541</v>
      </c>
      <c r="L82" s="1" t="s">
        <v>59</v>
      </c>
      <c r="M82" s="8" t="s">
        <v>23</v>
      </c>
      <c r="N82" s="14" t="s">
        <v>2272</v>
      </c>
      <c r="O82" s="1" t="s">
        <v>59</v>
      </c>
      <c r="P82" s="1" t="s">
        <v>60</v>
      </c>
    </row>
    <row r="83" spans="1:16" ht="57.6" x14ac:dyDescent="0.3">
      <c r="A83" s="1" t="s">
        <v>542</v>
      </c>
      <c r="B83" s="1" t="s">
        <v>394</v>
      </c>
      <c r="C83" s="1" t="s">
        <v>530</v>
      </c>
      <c r="D83" s="1" t="s">
        <v>543</v>
      </c>
      <c r="E83" s="1" t="s">
        <v>544</v>
      </c>
      <c r="F83" s="6" t="s">
        <v>25</v>
      </c>
      <c r="G83" s="1" t="s">
        <v>97</v>
      </c>
      <c r="H83" s="7" t="s">
        <v>27</v>
      </c>
      <c r="I83" s="1" t="s">
        <v>545</v>
      </c>
      <c r="J83" s="1" t="s">
        <v>546</v>
      </c>
      <c r="K83" s="1" t="s">
        <v>547</v>
      </c>
      <c r="L83" s="1" t="s">
        <v>59</v>
      </c>
      <c r="M83" s="8" t="s">
        <v>23</v>
      </c>
      <c r="N83" s="14" t="s">
        <v>2272</v>
      </c>
      <c r="O83" s="1" t="s">
        <v>59</v>
      </c>
      <c r="P83" s="1" t="s">
        <v>88</v>
      </c>
    </row>
    <row r="84" spans="1:16" ht="43.2" x14ac:dyDescent="0.3">
      <c r="A84" s="1" t="s">
        <v>548</v>
      </c>
      <c r="B84" s="1" t="s">
        <v>394</v>
      </c>
      <c r="C84" s="1" t="s">
        <v>530</v>
      </c>
      <c r="D84" s="1" t="s">
        <v>549</v>
      </c>
      <c r="E84" s="1" t="s">
        <v>550</v>
      </c>
      <c r="F84" s="6" t="s">
        <v>25</v>
      </c>
      <c r="G84" s="1" t="s">
        <v>97</v>
      </c>
      <c r="H84" s="7" t="s">
        <v>27</v>
      </c>
      <c r="I84" s="1" t="s">
        <v>551</v>
      </c>
      <c r="J84" s="1" t="s">
        <v>552</v>
      </c>
      <c r="K84" s="1" t="s">
        <v>553</v>
      </c>
      <c r="L84" s="1" t="s">
        <v>59</v>
      </c>
      <c r="M84" s="8" t="s">
        <v>23</v>
      </c>
      <c r="N84" s="14" t="s">
        <v>2272</v>
      </c>
      <c r="O84" s="1" t="s">
        <v>59</v>
      </c>
      <c r="P84" s="1" t="s">
        <v>263</v>
      </c>
    </row>
    <row r="85" spans="1:16" ht="57.6" x14ac:dyDescent="0.3">
      <c r="A85" s="1" t="s">
        <v>554</v>
      </c>
      <c r="B85" s="1" t="s">
        <v>394</v>
      </c>
      <c r="C85" s="1" t="s">
        <v>530</v>
      </c>
      <c r="D85" s="1" t="s">
        <v>555</v>
      </c>
      <c r="E85" s="1" t="s">
        <v>556</v>
      </c>
      <c r="F85" s="6" t="s">
        <v>25</v>
      </c>
      <c r="G85" s="1" t="s">
        <v>97</v>
      </c>
      <c r="H85" s="7" t="s">
        <v>27</v>
      </c>
      <c r="I85" s="1" t="s">
        <v>557</v>
      </c>
      <c r="J85" s="1" t="s">
        <v>558</v>
      </c>
      <c r="K85" s="1" t="s">
        <v>559</v>
      </c>
      <c r="L85" s="1" t="s">
        <v>59</v>
      </c>
      <c r="M85" s="8" t="s">
        <v>23</v>
      </c>
      <c r="N85" s="14" t="s">
        <v>2272</v>
      </c>
      <c r="O85" s="1" t="s">
        <v>59</v>
      </c>
      <c r="P85" s="1" t="s">
        <v>60</v>
      </c>
    </row>
    <row r="86" spans="1:16" ht="57.6" x14ac:dyDescent="0.3">
      <c r="A86" s="1" t="s">
        <v>560</v>
      </c>
      <c r="B86" s="1" t="s">
        <v>394</v>
      </c>
      <c r="C86" s="1" t="s">
        <v>530</v>
      </c>
      <c r="D86" s="1" t="s">
        <v>561</v>
      </c>
      <c r="E86" s="1" t="s">
        <v>562</v>
      </c>
      <c r="F86" s="6" t="s">
        <v>25</v>
      </c>
      <c r="G86" s="1" t="s">
        <v>97</v>
      </c>
      <c r="H86" s="7" t="s">
        <v>24</v>
      </c>
      <c r="I86" s="1" t="s">
        <v>563</v>
      </c>
      <c r="J86" s="1" t="s">
        <v>564</v>
      </c>
      <c r="K86" s="1" t="s">
        <v>565</v>
      </c>
      <c r="L86" s="1" t="s">
        <v>59</v>
      </c>
      <c r="M86" s="8" t="s">
        <v>23</v>
      </c>
      <c r="N86" s="14" t="s">
        <v>2272</v>
      </c>
      <c r="O86" s="1" t="s">
        <v>59</v>
      </c>
      <c r="P86" s="1" t="s">
        <v>81</v>
      </c>
    </row>
    <row r="87" spans="1:16" ht="43.2" x14ac:dyDescent="0.3">
      <c r="A87" s="1" t="s">
        <v>566</v>
      </c>
      <c r="B87" s="1" t="s">
        <v>394</v>
      </c>
      <c r="C87" s="1" t="s">
        <v>530</v>
      </c>
      <c r="D87" s="1" t="s">
        <v>524</v>
      </c>
      <c r="E87" s="1" t="s">
        <v>567</v>
      </c>
      <c r="F87" s="6" t="s">
        <v>30</v>
      </c>
      <c r="G87" s="1" t="s">
        <v>97</v>
      </c>
      <c r="H87" s="7" t="s">
        <v>24</v>
      </c>
      <c r="I87" s="1" t="s">
        <v>568</v>
      </c>
      <c r="J87" s="1" t="s">
        <v>569</v>
      </c>
      <c r="K87" s="1" t="s">
        <v>570</v>
      </c>
      <c r="L87" s="1" t="s">
        <v>59</v>
      </c>
      <c r="M87" s="8" t="s">
        <v>23</v>
      </c>
      <c r="N87" s="14" t="s">
        <v>2272</v>
      </c>
      <c r="O87" s="1" t="s">
        <v>59</v>
      </c>
      <c r="P87" s="1" t="s">
        <v>263</v>
      </c>
    </row>
    <row r="88" spans="1:16" ht="43.2" x14ac:dyDescent="0.3">
      <c r="A88" s="1" t="s">
        <v>571</v>
      </c>
      <c r="B88" s="1" t="s">
        <v>394</v>
      </c>
      <c r="C88" s="1" t="s">
        <v>530</v>
      </c>
      <c r="D88" s="1" t="s">
        <v>387</v>
      </c>
      <c r="E88" s="1" t="s">
        <v>572</v>
      </c>
      <c r="F88" s="6" t="s">
        <v>30</v>
      </c>
      <c r="G88" s="1" t="s">
        <v>173</v>
      </c>
      <c r="H88" s="7" t="s">
        <v>24</v>
      </c>
      <c r="I88" s="1" t="s">
        <v>573</v>
      </c>
      <c r="J88" s="1" t="s">
        <v>574</v>
      </c>
      <c r="K88" s="1" t="s">
        <v>575</v>
      </c>
      <c r="L88" s="1" t="s">
        <v>59</v>
      </c>
      <c r="M88" s="8" t="s">
        <v>23</v>
      </c>
      <c r="N88" s="14" t="s">
        <v>2272</v>
      </c>
      <c r="O88" s="1" t="s">
        <v>59</v>
      </c>
      <c r="P88" s="1" t="s">
        <v>101</v>
      </c>
    </row>
    <row r="89" spans="1:16" ht="72" x14ac:dyDescent="0.3">
      <c r="A89" s="1" t="s">
        <v>576</v>
      </c>
      <c r="B89" s="1" t="s">
        <v>577</v>
      </c>
      <c r="C89" s="1" t="s">
        <v>578</v>
      </c>
      <c r="D89" s="1" t="s">
        <v>579</v>
      </c>
      <c r="E89" s="1" t="s">
        <v>580</v>
      </c>
      <c r="F89" s="6" t="s">
        <v>25</v>
      </c>
      <c r="G89" s="1" t="s">
        <v>212</v>
      </c>
      <c r="H89" s="7" t="s">
        <v>24</v>
      </c>
      <c r="I89" s="1" t="s">
        <v>581</v>
      </c>
      <c r="J89" s="1" t="s">
        <v>582</v>
      </c>
      <c r="K89" s="1" t="s">
        <v>583</v>
      </c>
      <c r="L89" s="1" t="s">
        <v>59</v>
      </c>
      <c r="M89" s="8" t="s">
        <v>23</v>
      </c>
      <c r="N89" s="14" t="s">
        <v>2272</v>
      </c>
      <c r="O89" s="1" t="s">
        <v>59</v>
      </c>
      <c r="P89" s="1" t="s">
        <v>60</v>
      </c>
    </row>
    <row r="90" spans="1:16" ht="72" x14ac:dyDescent="0.3">
      <c r="A90" s="1" t="s">
        <v>584</v>
      </c>
      <c r="B90" s="1" t="s">
        <v>577</v>
      </c>
      <c r="C90" s="1" t="s">
        <v>578</v>
      </c>
      <c r="D90" s="1" t="s">
        <v>585</v>
      </c>
      <c r="E90" s="1" t="s">
        <v>586</v>
      </c>
      <c r="F90" s="6" t="s">
        <v>31</v>
      </c>
      <c r="G90" s="1" t="s">
        <v>212</v>
      </c>
      <c r="H90" s="7" t="s">
        <v>24</v>
      </c>
      <c r="I90" s="1" t="s">
        <v>587</v>
      </c>
      <c r="J90" s="1" t="s">
        <v>588</v>
      </c>
      <c r="K90" s="1" t="s">
        <v>589</v>
      </c>
      <c r="L90" s="1" t="s">
        <v>59</v>
      </c>
      <c r="M90" s="8" t="s">
        <v>23</v>
      </c>
      <c r="N90" s="14" t="s">
        <v>2272</v>
      </c>
      <c r="O90" s="1" t="s">
        <v>59</v>
      </c>
      <c r="P90" s="1" t="s">
        <v>60</v>
      </c>
    </row>
    <row r="91" spans="1:16" ht="72" x14ac:dyDescent="0.3">
      <c r="A91" s="1" t="s">
        <v>590</v>
      </c>
      <c r="B91" s="1" t="s">
        <v>577</v>
      </c>
      <c r="C91" s="1" t="s">
        <v>578</v>
      </c>
      <c r="D91" s="1" t="s">
        <v>591</v>
      </c>
      <c r="E91" s="1" t="s">
        <v>592</v>
      </c>
      <c r="F91" s="6" t="s">
        <v>25</v>
      </c>
      <c r="G91" s="1" t="s">
        <v>212</v>
      </c>
      <c r="H91" s="7" t="s">
        <v>27</v>
      </c>
      <c r="I91" s="1" t="s">
        <v>593</v>
      </c>
      <c r="J91" s="1" t="s">
        <v>594</v>
      </c>
      <c r="K91" s="1" t="s">
        <v>595</v>
      </c>
      <c r="L91" s="1" t="s">
        <v>59</v>
      </c>
      <c r="M91" s="8" t="s">
        <v>23</v>
      </c>
      <c r="N91" s="14" t="s">
        <v>2272</v>
      </c>
      <c r="O91" s="1" t="s">
        <v>59</v>
      </c>
      <c r="P91" s="1" t="s">
        <v>60</v>
      </c>
    </row>
    <row r="92" spans="1:16" ht="57.6" x14ac:dyDescent="0.3">
      <c r="A92" s="1" t="s">
        <v>596</v>
      </c>
      <c r="B92" s="1" t="s">
        <v>577</v>
      </c>
      <c r="C92" s="1" t="s">
        <v>578</v>
      </c>
      <c r="D92" s="1" t="s">
        <v>597</v>
      </c>
      <c r="E92" s="1" t="s">
        <v>598</v>
      </c>
      <c r="F92" s="6" t="s">
        <v>25</v>
      </c>
      <c r="G92" s="1" t="s">
        <v>212</v>
      </c>
      <c r="H92" s="7" t="s">
        <v>27</v>
      </c>
      <c r="I92" s="1" t="s">
        <v>593</v>
      </c>
      <c r="J92" s="1" t="s">
        <v>599</v>
      </c>
      <c r="K92" s="1" t="s">
        <v>600</v>
      </c>
      <c r="L92" s="1" t="s">
        <v>59</v>
      </c>
      <c r="M92" s="8" t="s">
        <v>23</v>
      </c>
      <c r="N92" s="14" t="s">
        <v>2272</v>
      </c>
      <c r="O92" s="1" t="s">
        <v>59</v>
      </c>
      <c r="P92" s="1" t="s">
        <v>60</v>
      </c>
    </row>
    <row r="93" spans="1:16" ht="43.2" x14ac:dyDescent="0.3">
      <c r="A93" s="1" t="s">
        <v>601</v>
      </c>
      <c r="B93" s="1" t="s">
        <v>577</v>
      </c>
      <c r="C93" s="1" t="s">
        <v>578</v>
      </c>
      <c r="D93" s="1" t="s">
        <v>450</v>
      </c>
      <c r="E93" s="1" t="s">
        <v>602</v>
      </c>
      <c r="F93" s="6" t="s">
        <v>30</v>
      </c>
      <c r="G93" s="1" t="s">
        <v>186</v>
      </c>
      <c r="H93" s="7" t="s">
        <v>24</v>
      </c>
      <c r="I93" s="1" t="s">
        <v>603</v>
      </c>
      <c r="J93" s="1" t="s">
        <v>604</v>
      </c>
      <c r="K93" s="1" t="s">
        <v>605</v>
      </c>
      <c r="L93" s="1" t="s">
        <v>59</v>
      </c>
      <c r="M93" s="8" t="s">
        <v>23</v>
      </c>
      <c r="N93" s="14" t="s">
        <v>2272</v>
      </c>
      <c r="O93" s="1" t="s">
        <v>59</v>
      </c>
      <c r="P93" s="1" t="s">
        <v>101</v>
      </c>
    </row>
    <row r="94" spans="1:16" ht="43.2" x14ac:dyDescent="0.3">
      <c r="A94" s="1" t="s">
        <v>606</v>
      </c>
      <c r="B94" s="1" t="s">
        <v>577</v>
      </c>
      <c r="C94" s="1" t="s">
        <v>578</v>
      </c>
      <c r="D94" s="1" t="s">
        <v>607</v>
      </c>
      <c r="E94" s="1" t="s">
        <v>608</v>
      </c>
      <c r="F94" s="6" t="s">
        <v>25</v>
      </c>
      <c r="G94" s="1" t="s">
        <v>97</v>
      </c>
      <c r="H94" s="7" t="s">
        <v>29</v>
      </c>
      <c r="I94" s="1" t="s">
        <v>609</v>
      </c>
      <c r="J94" s="1" t="s">
        <v>610</v>
      </c>
      <c r="K94" s="1" t="s">
        <v>611</v>
      </c>
      <c r="L94" s="1" t="s">
        <v>59</v>
      </c>
      <c r="M94" s="8" t="s">
        <v>23</v>
      </c>
      <c r="N94" s="14" t="s">
        <v>2272</v>
      </c>
      <c r="O94" s="1" t="s">
        <v>59</v>
      </c>
      <c r="P94" s="1" t="s">
        <v>81</v>
      </c>
    </row>
    <row r="95" spans="1:16" ht="43.2" x14ac:dyDescent="0.3">
      <c r="A95" s="1" t="s">
        <v>612</v>
      </c>
      <c r="B95" s="1" t="s">
        <v>577</v>
      </c>
      <c r="C95" s="1" t="s">
        <v>578</v>
      </c>
      <c r="D95" s="1" t="s">
        <v>613</v>
      </c>
      <c r="E95" s="1" t="s">
        <v>614</v>
      </c>
      <c r="F95" s="6" t="s">
        <v>31</v>
      </c>
      <c r="G95" s="1" t="s">
        <v>180</v>
      </c>
      <c r="H95" s="7" t="s">
        <v>24</v>
      </c>
      <c r="I95" s="1" t="s">
        <v>615</v>
      </c>
      <c r="J95" s="1" t="s">
        <v>616</v>
      </c>
      <c r="K95" s="1" t="s">
        <v>617</v>
      </c>
      <c r="L95" s="1" t="s">
        <v>59</v>
      </c>
      <c r="M95" s="8" t="s">
        <v>23</v>
      </c>
      <c r="N95" s="14" t="s">
        <v>2272</v>
      </c>
      <c r="O95" s="1" t="s">
        <v>59</v>
      </c>
      <c r="P95" s="1" t="s">
        <v>263</v>
      </c>
    </row>
    <row r="96" spans="1:16" ht="43.2" x14ac:dyDescent="0.3">
      <c r="A96" s="1" t="s">
        <v>618</v>
      </c>
      <c r="B96" s="1" t="s">
        <v>577</v>
      </c>
      <c r="C96" s="1" t="s">
        <v>578</v>
      </c>
      <c r="D96" s="1" t="s">
        <v>619</v>
      </c>
      <c r="E96" s="1" t="s">
        <v>620</v>
      </c>
      <c r="F96" s="6" t="s">
        <v>28</v>
      </c>
      <c r="G96" s="1" t="s">
        <v>180</v>
      </c>
      <c r="H96" s="7" t="s">
        <v>24</v>
      </c>
      <c r="I96" s="1" t="s">
        <v>621</v>
      </c>
      <c r="J96" s="1" t="s">
        <v>622</v>
      </c>
      <c r="K96" s="1" t="s">
        <v>623</v>
      </c>
      <c r="L96" s="1" t="s">
        <v>59</v>
      </c>
      <c r="M96" s="8" t="s">
        <v>23</v>
      </c>
      <c r="N96" s="14" t="s">
        <v>2272</v>
      </c>
      <c r="O96" s="1" t="s">
        <v>59</v>
      </c>
      <c r="P96" s="1" t="s">
        <v>81</v>
      </c>
    </row>
    <row r="97" spans="1:16" ht="57.6" x14ac:dyDescent="0.3">
      <c r="A97" s="1" t="s">
        <v>624</v>
      </c>
      <c r="B97" s="1" t="s">
        <v>577</v>
      </c>
      <c r="C97" s="1" t="s">
        <v>578</v>
      </c>
      <c r="D97" s="1" t="s">
        <v>591</v>
      </c>
      <c r="E97" s="1" t="s">
        <v>625</v>
      </c>
      <c r="F97" s="6" t="s">
        <v>25</v>
      </c>
      <c r="G97" s="1" t="s">
        <v>180</v>
      </c>
      <c r="H97" s="7" t="s">
        <v>27</v>
      </c>
      <c r="I97" s="1" t="s">
        <v>626</v>
      </c>
      <c r="J97" s="1" t="s">
        <v>627</v>
      </c>
      <c r="K97" s="1" t="s">
        <v>628</v>
      </c>
      <c r="L97" s="1" t="s">
        <v>59</v>
      </c>
      <c r="M97" s="8" t="s">
        <v>23</v>
      </c>
      <c r="N97" s="14" t="s">
        <v>2272</v>
      </c>
      <c r="O97" s="1" t="s">
        <v>59</v>
      </c>
      <c r="P97" s="1" t="s">
        <v>60</v>
      </c>
    </row>
    <row r="98" spans="1:16" ht="57.6" x14ac:dyDescent="0.3">
      <c r="A98" s="1" t="s">
        <v>629</v>
      </c>
      <c r="B98" s="1" t="s">
        <v>577</v>
      </c>
      <c r="C98" s="1" t="s">
        <v>578</v>
      </c>
      <c r="D98" s="1" t="s">
        <v>597</v>
      </c>
      <c r="E98" s="1" t="s">
        <v>630</v>
      </c>
      <c r="F98" s="6" t="s">
        <v>25</v>
      </c>
      <c r="G98" s="1" t="s">
        <v>180</v>
      </c>
      <c r="H98" s="7" t="s">
        <v>27</v>
      </c>
      <c r="I98" s="1" t="s">
        <v>631</v>
      </c>
      <c r="J98" s="1" t="s">
        <v>632</v>
      </c>
      <c r="K98" s="1" t="s">
        <v>633</v>
      </c>
      <c r="L98" s="1" t="s">
        <v>59</v>
      </c>
      <c r="M98" s="8" t="s">
        <v>23</v>
      </c>
      <c r="N98" s="8" t="s">
        <v>59</v>
      </c>
      <c r="O98" s="1" t="s">
        <v>59</v>
      </c>
      <c r="P98" s="1" t="s">
        <v>60</v>
      </c>
    </row>
    <row r="99" spans="1:16" ht="43.2" x14ac:dyDescent="0.3">
      <c r="A99" s="1" t="s">
        <v>634</v>
      </c>
      <c r="B99" s="1" t="s">
        <v>577</v>
      </c>
      <c r="C99" s="1" t="s">
        <v>578</v>
      </c>
      <c r="D99" s="1" t="s">
        <v>635</v>
      </c>
      <c r="E99" s="1" t="s">
        <v>636</v>
      </c>
      <c r="F99" s="6" t="s">
        <v>25</v>
      </c>
      <c r="G99" s="1" t="s">
        <v>173</v>
      </c>
      <c r="H99" s="7" t="s">
        <v>29</v>
      </c>
      <c r="I99" s="1" t="s">
        <v>637</v>
      </c>
      <c r="J99" s="1" t="s">
        <v>638</v>
      </c>
      <c r="K99" s="1" t="s">
        <v>639</v>
      </c>
      <c r="L99" s="1" t="s">
        <v>59</v>
      </c>
      <c r="M99" s="8" t="s">
        <v>23</v>
      </c>
      <c r="N99" s="8" t="s">
        <v>59</v>
      </c>
      <c r="O99" s="1" t="s">
        <v>59</v>
      </c>
      <c r="P99" s="1" t="s">
        <v>88</v>
      </c>
    </row>
    <row r="100" spans="1:16" ht="43.2" x14ac:dyDescent="0.3">
      <c r="A100" s="1" t="s">
        <v>640</v>
      </c>
      <c r="B100" s="1" t="s">
        <v>577</v>
      </c>
      <c r="C100" s="1" t="s">
        <v>578</v>
      </c>
      <c r="D100" s="1" t="s">
        <v>387</v>
      </c>
      <c r="E100" s="1" t="s">
        <v>641</v>
      </c>
      <c r="F100" s="6" t="s">
        <v>30</v>
      </c>
      <c r="G100" s="1" t="s">
        <v>173</v>
      </c>
      <c r="H100" s="7" t="s">
        <v>24</v>
      </c>
      <c r="I100" s="1" t="s">
        <v>642</v>
      </c>
      <c r="J100" s="1" t="s">
        <v>643</v>
      </c>
      <c r="K100" s="1" t="s">
        <v>644</v>
      </c>
      <c r="L100" s="1" t="s">
        <v>59</v>
      </c>
      <c r="M100" s="8" t="s">
        <v>23</v>
      </c>
      <c r="N100" s="8" t="s">
        <v>59</v>
      </c>
      <c r="O100" s="1" t="s">
        <v>59</v>
      </c>
      <c r="P100" s="1" t="s">
        <v>101</v>
      </c>
    </row>
    <row r="101" spans="1:16" ht="43.2" x14ac:dyDescent="0.3">
      <c r="A101" s="1" t="s">
        <v>645</v>
      </c>
      <c r="B101" s="1" t="s">
        <v>646</v>
      </c>
      <c r="C101" s="1" t="s">
        <v>647</v>
      </c>
      <c r="D101" s="1" t="s">
        <v>648</v>
      </c>
      <c r="E101" s="1" t="s">
        <v>649</v>
      </c>
      <c r="F101" s="6" t="s">
        <v>25</v>
      </c>
      <c r="G101" s="1" t="s">
        <v>650</v>
      </c>
      <c r="H101" s="7" t="s">
        <v>24</v>
      </c>
      <c r="I101" s="1" t="s">
        <v>651</v>
      </c>
      <c r="J101" s="1" t="s">
        <v>652</v>
      </c>
      <c r="K101" s="1" t="s">
        <v>653</v>
      </c>
      <c r="L101" s="1" t="s">
        <v>59</v>
      </c>
      <c r="M101" s="8" t="s">
        <v>23</v>
      </c>
      <c r="N101" s="8" t="s">
        <v>59</v>
      </c>
      <c r="O101" s="1" t="s">
        <v>59</v>
      </c>
      <c r="P101" s="1" t="s">
        <v>60</v>
      </c>
    </row>
    <row r="102" spans="1:16" ht="72" x14ac:dyDescent="0.3">
      <c r="A102" s="1" t="s">
        <v>654</v>
      </c>
      <c r="B102" s="1" t="s">
        <v>646</v>
      </c>
      <c r="C102" s="1" t="s">
        <v>647</v>
      </c>
      <c r="D102" s="1" t="s">
        <v>655</v>
      </c>
      <c r="E102" s="1" t="s">
        <v>656</v>
      </c>
      <c r="F102" s="6" t="s">
        <v>25</v>
      </c>
      <c r="G102" s="1" t="s">
        <v>657</v>
      </c>
      <c r="H102" s="7" t="s">
        <v>24</v>
      </c>
      <c r="I102" s="1" t="s">
        <v>658</v>
      </c>
      <c r="J102" s="1" t="s">
        <v>659</v>
      </c>
      <c r="K102" s="1" t="s">
        <v>660</v>
      </c>
      <c r="L102" s="1" t="s">
        <v>59</v>
      </c>
      <c r="M102" s="8" t="s">
        <v>23</v>
      </c>
      <c r="N102" s="8" t="s">
        <v>59</v>
      </c>
      <c r="O102" s="1" t="s">
        <v>59</v>
      </c>
      <c r="P102" s="1" t="s">
        <v>60</v>
      </c>
    </row>
    <row r="103" spans="1:16" ht="57.6" x14ac:dyDescent="0.3">
      <c r="A103" s="1" t="s">
        <v>661</v>
      </c>
      <c r="B103" s="1" t="s">
        <v>646</v>
      </c>
      <c r="C103" s="1" t="s">
        <v>647</v>
      </c>
      <c r="D103" s="1" t="s">
        <v>662</v>
      </c>
      <c r="E103" s="1" t="s">
        <v>663</v>
      </c>
      <c r="F103" s="6" t="s">
        <v>31</v>
      </c>
      <c r="G103" s="1" t="s">
        <v>664</v>
      </c>
      <c r="H103" s="7" t="s">
        <v>27</v>
      </c>
      <c r="I103" s="1" t="s">
        <v>665</v>
      </c>
      <c r="J103" s="1" t="s">
        <v>666</v>
      </c>
      <c r="K103" s="1" t="s">
        <v>667</v>
      </c>
      <c r="L103" s="1" t="s">
        <v>59</v>
      </c>
      <c r="M103" s="8" t="s">
        <v>23</v>
      </c>
      <c r="N103" s="8" t="s">
        <v>59</v>
      </c>
      <c r="O103" s="1" t="s">
        <v>59</v>
      </c>
      <c r="P103" s="1" t="s">
        <v>81</v>
      </c>
    </row>
    <row r="104" spans="1:16" ht="72" x14ac:dyDescent="0.3">
      <c r="A104" s="1" t="s">
        <v>668</v>
      </c>
      <c r="B104" s="1" t="s">
        <v>646</v>
      </c>
      <c r="C104" s="1" t="s">
        <v>647</v>
      </c>
      <c r="D104" s="1" t="s">
        <v>655</v>
      </c>
      <c r="E104" s="1" t="s">
        <v>669</v>
      </c>
      <c r="F104" s="6" t="s">
        <v>25</v>
      </c>
      <c r="G104" s="1" t="s">
        <v>330</v>
      </c>
      <c r="H104" s="7" t="s">
        <v>24</v>
      </c>
      <c r="I104" s="1" t="s">
        <v>658</v>
      </c>
      <c r="J104" s="1" t="s">
        <v>670</v>
      </c>
      <c r="K104" s="1" t="s">
        <v>671</v>
      </c>
      <c r="L104" s="1" t="s">
        <v>59</v>
      </c>
      <c r="M104" s="8" t="s">
        <v>23</v>
      </c>
      <c r="N104" s="8" t="s">
        <v>59</v>
      </c>
      <c r="O104" s="1" t="s">
        <v>59</v>
      </c>
      <c r="P104" s="1" t="s">
        <v>60</v>
      </c>
    </row>
    <row r="105" spans="1:16" ht="57.6" x14ac:dyDescent="0.3">
      <c r="A105" s="1" t="s">
        <v>672</v>
      </c>
      <c r="B105" s="1" t="s">
        <v>646</v>
      </c>
      <c r="C105" s="1" t="s">
        <v>647</v>
      </c>
      <c r="D105" s="1" t="s">
        <v>673</v>
      </c>
      <c r="E105" s="1" t="s">
        <v>674</v>
      </c>
      <c r="F105" s="6" t="s">
        <v>28</v>
      </c>
      <c r="G105" s="1" t="s">
        <v>330</v>
      </c>
      <c r="H105" s="7" t="s">
        <v>24</v>
      </c>
      <c r="I105" s="1" t="s">
        <v>675</v>
      </c>
      <c r="J105" s="1" t="s">
        <v>676</v>
      </c>
      <c r="K105" s="1" t="s">
        <v>677</v>
      </c>
      <c r="L105" s="1" t="s">
        <v>59</v>
      </c>
      <c r="M105" s="8" t="s">
        <v>23</v>
      </c>
      <c r="N105" s="8" t="s">
        <v>59</v>
      </c>
      <c r="O105" s="1" t="s">
        <v>59</v>
      </c>
      <c r="P105" s="1" t="s">
        <v>88</v>
      </c>
    </row>
    <row r="106" spans="1:16" ht="57.6" x14ac:dyDescent="0.3">
      <c r="A106" s="1" t="s">
        <v>678</v>
      </c>
      <c r="B106" s="1" t="s">
        <v>646</v>
      </c>
      <c r="C106" s="1" t="s">
        <v>647</v>
      </c>
      <c r="D106" s="1" t="s">
        <v>679</v>
      </c>
      <c r="E106" s="1" t="s">
        <v>680</v>
      </c>
      <c r="F106" s="6" t="s">
        <v>25</v>
      </c>
      <c r="G106" s="1" t="s">
        <v>330</v>
      </c>
      <c r="H106" s="7" t="s">
        <v>27</v>
      </c>
      <c r="I106" s="1" t="s">
        <v>681</v>
      </c>
      <c r="J106" s="1" t="s">
        <v>682</v>
      </c>
      <c r="K106" s="1" t="s">
        <v>683</v>
      </c>
      <c r="L106" s="1" t="s">
        <v>59</v>
      </c>
      <c r="M106" s="8" t="s">
        <v>23</v>
      </c>
      <c r="N106" s="8" t="s">
        <v>59</v>
      </c>
      <c r="O106" s="1" t="s">
        <v>59</v>
      </c>
      <c r="P106" s="1" t="s">
        <v>263</v>
      </c>
    </row>
    <row r="107" spans="1:16" ht="57.6" x14ac:dyDescent="0.3">
      <c r="A107" s="1" t="s">
        <v>684</v>
      </c>
      <c r="B107" s="1" t="s">
        <v>646</v>
      </c>
      <c r="C107" s="1" t="s">
        <v>647</v>
      </c>
      <c r="D107" s="1" t="s">
        <v>433</v>
      </c>
      <c r="E107" s="1" t="s">
        <v>685</v>
      </c>
      <c r="F107" s="6" t="s">
        <v>25</v>
      </c>
      <c r="G107" s="1" t="s">
        <v>173</v>
      </c>
      <c r="H107" s="7" t="s">
        <v>27</v>
      </c>
      <c r="I107" s="1" t="s">
        <v>686</v>
      </c>
      <c r="J107" s="1" t="s">
        <v>687</v>
      </c>
      <c r="K107" s="1" t="s">
        <v>688</v>
      </c>
      <c r="L107" s="1" t="s">
        <v>59</v>
      </c>
      <c r="M107" s="8" t="s">
        <v>23</v>
      </c>
      <c r="N107" s="8" t="s">
        <v>59</v>
      </c>
      <c r="O107" s="1" t="s">
        <v>59</v>
      </c>
      <c r="P107" s="1" t="s">
        <v>60</v>
      </c>
    </row>
    <row r="108" spans="1:16" ht="57.6" x14ac:dyDescent="0.3">
      <c r="A108" s="1" t="s">
        <v>689</v>
      </c>
      <c r="B108" s="1" t="s">
        <v>646</v>
      </c>
      <c r="C108" s="1" t="s">
        <v>647</v>
      </c>
      <c r="D108" s="1" t="s">
        <v>690</v>
      </c>
      <c r="E108" s="1" t="s">
        <v>691</v>
      </c>
      <c r="F108" s="6" t="s">
        <v>31</v>
      </c>
      <c r="G108" s="1" t="s">
        <v>330</v>
      </c>
      <c r="H108" s="7" t="s">
        <v>27</v>
      </c>
      <c r="I108" s="1" t="s">
        <v>692</v>
      </c>
      <c r="J108" s="1" t="s">
        <v>693</v>
      </c>
      <c r="K108" s="1" t="s">
        <v>694</v>
      </c>
      <c r="L108" s="1" t="s">
        <v>59</v>
      </c>
      <c r="M108" s="8" t="s">
        <v>23</v>
      </c>
      <c r="N108" s="8" t="s">
        <v>59</v>
      </c>
      <c r="O108" s="1" t="s">
        <v>59</v>
      </c>
      <c r="P108" s="1" t="s">
        <v>263</v>
      </c>
    </row>
    <row r="109" spans="1:16" ht="43.2" x14ac:dyDescent="0.3">
      <c r="A109" s="1" t="s">
        <v>695</v>
      </c>
      <c r="B109" s="1" t="s">
        <v>646</v>
      </c>
      <c r="C109" s="1" t="s">
        <v>647</v>
      </c>
      <c r="D109" s="1" t="s">
        <v>696</v>
      </c>
      <c r="E109" s="1" t="s">
        <v>697</v>
      </c>
      <c r="F109" s="6" t="s">
        <v>30</v>
      </c>
      <c r="G109" s="1" t="s">
        <v>186</v>
      </c>
      <c r="H109" s="7" t="s">
        <v>27</v>
      </c>
      <c r="I109" s="1" t="s">
        <v>698</v>
      </c>
      <c r="J109" s="1" t="s">
        <v>699</v>
      </c>
      <c r="K109" s="1" t="s">
        <v>700</v>
      </c>
      <c r="L109" s="1" t="s">
        <v>59</v>
      </c>
      <c r="M109" s="8" t="s">
        <v>23</v>
      </c>
      <c r="N109" s="8" t="s">
        <v>59</v>
      </c>
      <c r="O109" s="1" t="s">
        <v>59</v>
      </c>
      <c r="P109" s="1" t="s">
        <v>101</v>
      </c>
    </row>
    <row r="110" spans="1:16" ht="43.2" x14ac:dyDescent="0.3">
      <c r="A110" s="1" t="s">
        <v>701</v>
      </c>
      <c r="B110" s="1" t="s">
        <v>646</v>
      </c>
      <c r="C110" s="1" t="s">
        <v>647</v>
      </c>
      <c r="D110" s="1" t="s">
        <v>387</v>
      </c>
      <c r="E110" s="1" t="s">
        <v>702</v>
      </c>
      <c r="F110" s="6" t="s">
        <v>30</v>
      </c>
      <c r="G110" s="1" t="s">
        <v>173</v>
      </c>
      <c r="H110" s="7" t="s">
        <v>24</v>
      </c>
      <c r="I110" s="1" t="s">
        <v>703</v>
      </c>
      <c r="J110" s="1" t="s">
        <v>704</v>
      </c>
      <c r="K110" s="1" t="s">
        <v>705</v>
      </c>
      <c r="L110" s="1" t="s">
        <v>59</v>
      </c>
      <c r="M110" s="8" t="s">
        <v>23</v>
      </c>
      <c r="N110" s="8" t="s">
        <v>59</v>
      </c>
      <c r="O110" s="1" t="s">
        <v>59</v>
      </c>
      <c r="P110" s="1" t="s">
        <v>101</v>
      </c>
    </row>
    <row r="111" spans="1:16" ht="57.6" x14ac:dyDescent="0.3">
      <c r="A111" s="1" t="s">
        <v>706</v>
      </c>
      <c r="B111" s="1" t="s">
        <v>646</v>
      </c>
      <c r="C111" s="1" t="s">
        <v>707</v>
      </c>
      <c r="D111" s="1" t="s">
        <v>708</v>
      </c>
      <c r="E111" s="1" t="s">
        <v>709</v>
      </c>
      <c r="F111" s="6" t="s">
        <v>25</v>
      </c>
      <c r="G111" s="1" t="s">
        <v>173</v>
      </c>
      <c r="H111" s="7" t="s">
        <v>24</v>
      </c>
      <c r="I111" s="1" t="s">
        <v>710</v>
      </c>
      <c r="J111" s="1" t="s">
        <v>711</v>
      </c>
      <c r="K111" s="1" t="s">
        <v>712</v>
      </c>
      <c r="L111" s="1" t="s">
        <v>59</v>
      </c>
      <c r="M111" s="8" t="s">
        <v>23</v>
      </c>
      <c r="N111" s="8" t="s">
        <v>59</v>
      </c>
      <c r="O111" s="1" t="s">
        <v>59</v>
      </c>
      <c r="P111" s="1" t="s">
        <v>60</v>
      </c>
    </row>
    <row r="112" spans="1:16" ht="86.4" x14ac:dyDescent="0.3">
      <c r="A112" s="1" t="s">
        <v>713</v>
      </c>
      <c r="B112" s="1" t="s">
        <v>646</v>
      </c>
      <c r="C112" s="1" t="s">
        <v>707</v>
      </c>
      <c r="D112" s="1" t="s">
        <v>714</v>
      </c>
      <c r="E112" s="1" t="s">
        <v>715</v>
      </c>
      <c r="F112" s="6" t="s">
        <v>25</v>
      </c>
      <c r="G112" s="1" t="s">
        <v>716</v>
      </c>
      <c r="H112" s="7" t="s">
        <v>24</v>
      </c>
      <c r="I112" s="1" t="s">
        <v>717</v>
      </c>
      <c r="J112" s="1" t="s">
        <v>718</v>
      </c>
      <c r="K112" s="1" t="s">
        <v>719</v>
      </c>
      <c r="L112" s="1" t="s">
        <v>59</v>
      </c>
      <c r="M112" s="8" t="s">
        <v>23</v>
      </c>
      <c r="N112" s="8" t="s">
        <v>59</v>
      </c>
      <c r="O112" s="1" t="s">
        <v>59</v>
      </c>
      <c r="P112" s="1" t="s">
        <v>60</v>
      </c>
    </row>
    <row r="113" spans="1:16" ht="57.6" x14ac:dyDescent="0.3">
      <c r="A113" s="1" t="s">
        <v>720</v>
      </c>
      <c r="B113" s="1" t="s">
        <v>646</v>
      </c>
      <c r="C113" s="1" t="s">
        <v>707</v>
      </c>
      <c r="D113" s="1" t="s">
        <v>721</v>
      </c>
      <c r="E113" s="1" t="s">
        <v>722</v>
      </c>
      <c r="F113" s="6" t="s">
        <v>31</v>
      </c>
      <c r="G113" s="1" t="s">
        <v>180</v>
      </c>
      <c r="H113" s="7" t="s">
        <v>27</v>
      </c>
      <c r="I113" s="1" t="s">
        <v>723</v>
      </c>
      <c r="J113" s="1" t="s">
        <v>724</v>
      </c>
      <c r="K113" s="1" t="s">
        <v>725</v>
      </c>
      <c r="L113" s="1" t="s">
        <v>59</v>
      </c>
      <c r="M113" s="8" t="s">
        <v>23</v>
      </c>
      <c r="N113" s="8" t="s">
        <v>59</v>
      </c>
      <c r="O113" s="1" t="s">
        <v>59</v>
      </c>
      <c r="P113" s="1" t="s">
        <v>60</v>
      </c>
    </row>
    <row r="114" spans="1:16" ht="57.6" x14ac:dyDescent="0.3">
      <c r="A114" s="1" t="s">
        <v>726</v>
      </c>
      <c r="B114" s="1" t="s">
        <v>646</v>
      </c>
      <c r="C114" s="1" t="s">
        <v>707</v>
      </c>
      <c r="D114" s="1" t="s">
        <v>727</v>
      </c>
      <c r="E114" s="1" t="s">
        <v>728</v>
      </c>
      <c r="F114" s="6" t="s">
        <v>31</v>
      </c>
      <c r="G114" s="1" t="s">
        <v>180</v>
      </c>
      <c r="H114" s="7" t="s">
        <v>27</v>
      </c>
      <c r="I114" s="1" t="s">
        <v>729</v>
      </c>
      <c r="J114" s="1" t="s">
        <v>730</v>
      </c>
      <c r="K114" s="1" t="s">
        <v>731</v>
      </c>
      <c r="L114" s="1" t="s">
        <v>59</v>
      </c>
      <c r="M114" s="8" t="s">
        <v>23</v>
      </c>
      <c r="N114" s="8" t="s">
        <v>59</v>
      </c>
      <c r="O114" s="1" t="s">
        <v>59</v>
      </c>
      <c r="P114" s="1" t="s">
        <v>60</v>
      </c>
    </row>
    <row r="115" spans="1:16" ht="57.6" x14ac:dyDescent="0.3">
      <c r="A115" s="1" t="s">
        <v>732</v>
      </c>
      <c r="B115" s="1" t="s">
        <v>646</v>
      </c>
      <c r="C115" s="1" t="s">
        <v>707</v>
      </c>
      <c r="D115" s="1" t="s">
        <v>444</v>
      </c>
      <c r="E115" s="1" t="s">
        <v>733</v>
      </c>
      <c r="F115" s="6" t="s">
        <v>31</v>
      </c>
      <c r="G115" s="1" t="s">
        <v>193</v>
      </c>
      <c r="H115" s="7" t="s">
        <v>27</v>
      </c>
      <c r="I115" s="1" t="s">
        <v>734</v>
      </c>
      <c r="J115" s="1" t="s">
        <v>735</v>
      </c>
      <c r="K115" s="1" t="s">
        <v>736</v>
      </c>
      <c r="L115" s="1" t="s">
        <v>59</v>
      </c>
      <c r="M115" s="8" t="s">
        <v>23</v>
      </c>
      <c r="N115" s="8" t="s">
        <v>59</v>
      </c>
      <c r="O115" s="1" t="s">
        <v>59</v>
      </c>
      <c r="P115" s="1" t="s">
        <v>60</v>
      </c>
    </row>
    <row r="116" spans="1:16" ht="86.4" x14ac:dyDescent="0.3">
      <c r="A116" s="1" t="s">
        <v>737</v>
      </c>
      <c r="B116" s="1" t="s">
        <v>646</v>
      </c>
      <c r="C116" s="1" t="s">
        <v>707</v>
      </c>
      <c r="D116" s="1" t="s">
        <v>738</v>
      </c>
      <c r="E116" s="1" t="s">
        <v>739</v>
      </c>
      <c r="F116" s="6" t="s">
        <v>31</v>
      </c>
      <c r="G116" s="1" t="s">
        <v>657</v>
      </c>
      <c r="H116" s="7" t="s">
        <v>24</v>
      </c>
      <c r="I116" s="1" t="s">
        <v>740</v>
      </c>
      <c r="J116" s="1" t="s">
        <v>741</v>
      </c>
      <c r="K116" s="1" t="s">
        <v>742</v>
      </c>
      <c r="L116" s="1" t="s">
        <v>59</v>
      </c>
      <c r="M116" s="8" t="s">
        <v>23</v>
      </c>
      <c r="N116" s="8" t="s">
        <v>59</v>
      </c>
      <c r="O116" s="1" t="s">
        <v>59</v>
      </c>
      <c r="P116" s="1" t="s">
        <v>60</v>
      </c>
    </row>
    <row r="117" spans="1:16" ht="43.2" x14ac:dyDescent="0.3">
      <c r="A117" s="1" t="s">
        <v>743</v>
      </c>
      <c r="B117" s="1" t="s">
        <v>646</v>
      </c>
      <c r="C117" s="1" t="s">
        <v>707</v>
      </c>
      <c r="D117" s="1" t="s">
        <v>744</v>
      </c>
      <c r="E117" s="1" t="s">
        <v>745</v>
      </c>
      <c r="F117" s="6" t="s">
        <v>25</v>
      </c>
      <c r="G117" s="1" t="s">
        <v>330</v>
      </c>
      <c r="H117" s="7" t="s">
        <v>27</v>
      </c>
      <c r="I117" s="1" t="s">
        <v>746</v>
      </c>
      <c r="J117" s="1" t="s">
        <v>747</v>
      </c>
      <c r="K117" s="1" t="s">
        <v>748</v>
      </c>
      <c r="L117" s="1" t="s">
        <v>59</v>
      </c>
      <c r="M117" s="8" t="s">
        <v>23</v>
      </c>
      <c r="N117" s="8" t="s">
        <v>59</v>
      </c>
      <c r="O117" s="1" t="s">
        <v>59</v>
      </c>
      <c r="P117" s="1" t="s">
        <v>263</v>
      </c>
    </row>
    <row r="118" spans="1:16" ht="57.6" x14ac:dyDescent="0.3">
      <c r="A118" s="1" t="s">
        <v>749</v>
      </c>
      <c r="B118" s="1" t="s">
        <v>646</v>
      </c>
      <c r="C118" s="1" t="s">
        <v>707</v>
      </c>
      <c r="D118" s="1" t="s">
        <v>750</v>
      </c>
      <c r="E118" s="1" t="s">
        <v>751</v>
      </c>
      <c r="F118" s="6" t="s">
        <v>25</v>
      </c>
      <c r="G118" s="1" t="s">
        <v>173</v>
      </c>
      <c r="H118" s="7" t="s">
        <v>24</v>
      </c>
      <c r="I118" s="1" t="s">
        <v>752</v>
      </c>
      <c r="J118" s="1" t="s">
        <v>753</v>
      </c>
      <c r="K118" s="1" t="s">
        <v>754</v>
      </c>
      <c r="L118" s="1" t="s">
        <v>59</v>
      </c>
      <c r="M118" s="8" t="s">
        <v>23</v>
      </c>
      <c r="N118" s="8" t="s">
        <v>59</v>
      </c>
      <c r="O118" s="1" t="s">
        <v>59</v>
      </c>
      <c r="P118" s="1" t="s">
        <v>81</v>
      </c>
    </row>
    <row r="119" spans="1:16" ht="57.6" x14ac:dyDescent="0.3">
      <c r="A119" s="1" t="s">
        <v>755</v>
      </c>
      <c r="B119" s="1" t="s">
        <v>646</v>
      </c>
      <c r="C119" s="1" t="s">
        <v>707</v>
      </c>
      <c r="D119" s="1" t="s">
        <v>756</v>
      </c>
      <c r="E119" s="1" t="s">
        <v>757</v>
      </c>
      <c r="F119" s="6" t="s">
        <v>28</v>
      </c>
      <c r="G119" s="1" t="s">
        <v>330</v>
      </c>
      <c r="H119" s="7" t="s">
        <v>24</v>
      </c>
      <c r="I119" s="1" t="s">
        <v>758</v>
      </c>
      <c r="J119" s="1" t="s">
        <v>759</v>
      </c>
      <c r="K119" s="1" t="s">
        <v>760</v>
      </c>
      <c r="L119" s="1" t="s">
        <v>59</v>
      </c>
      <c r="M119" s="8" t="s">
        <v>23</v>
      </c>
      <c r="N119" s="8" t="s">
        <v>59</v>
      </c>
      <c r="O119" s="1" t="s">
        <v>59</v>
      </c>
      <c r="P119" s="1" t="s">
        <v>88</v>
      </c>
    </row>
    <row r="120" spans="1:16" ht="57.6" x14ac:dyDescent="0.3">
      <c r="A120" s="1" t="s">
        <v>761</v>
      </c>
      <c r="B120" s="1" t="s">
        <v>646</v>
      </c>
      <c r="C120" s="1" t="s">
        <v>707</v>
      </c>
      <c r="D120" s="1" t="s">
        <v>762</v>
      </c>
      <c r="E120" s="1" t="s">
        <v>763</v>
      </c>
      <c r="F120" s="6" t="s">
        <v>25</v>
      </c>
      <c r="G120" s="1" t="s">
        <v>180</v>
      </c>
      <c r="H120" s="7" t="s">
        <v>27</v>
      </c>
      <c r="I120" s="1" t="s">
        <v>764</v>
      </c>
      <c r="J120" s="1" t="s">
        <v>765</v>
      </c>
      <c r="K120" s="1" t="s">
        <v>766</v>
      </c>
      <c r="L120" s="1" t="s">
        <v>59</v>
      </c>
      <c r="M120" s="8" t="s">
        <v>23</v>
      </c>
      <c r="N120" s="8" t="s">
        <v>59</v>
      </c>
      <c r="O120" s="1" t="s">
        <v>59</v>
      </c>
      <c r="P120" s="1" t="s">
        <v>263</v>
      </c>
    </row>
    <row r="121" spans="1:16" ht="57.6" x14ac:dyDescent="0.3">
      <c r="A121" s="1" t="s">
        <v>767</v>
      </c>
      <c r="B121" s="1" t="s">
        <v>646</v>
      </c>
      <c r="C121" s="1" t="s">
        <v>707</v>
      </c>
      <c r="D121" s="1" t="s">
        <v>768</v>
      </c>
      <c r="E121" s="1" t="s">
        <v>769</v>
      </c>
      <c r="F121" s="6" t="s">
        <v>25</v>
      </c>
      <c r="G121" s="1" t="s">
        <v>180</v>
      </c>
      <c r="H121" s="7" t="s">
        <v>27</v>
      </c>
      <c r="I121" s="1" t="s">
        <v>770</v>
      </c>
      <c r="J121" s="1" t="s">
        <v>771</v>
      </c>
      <c r="K121" s="1" t="s">
        <v>772</v>
      </c>
      <c r="L121" s="1" t="s">
        <v>59</v>
      </c>
      <c r="M121" s="8" t="s">
        <v>23</v>
      </c>
      <c r="N121" s="8" t="s">
        <v>59</v>
      </c>
      <c r="O121" s="1" t="s">
        <v>59</v>
      </c>
      <c r="P121" s="1" t="s">
        <v>60</v>
      </c>
    </row>
    <row r="122" spans="1:16" ht="43.2" x14ac:dyDescent="0.3">
      <c r="A122" s="1" t="s">
        <v>773</v>
      </c>
      <c r="B122" s="1" t="s">
        <v>646</v>
      </c>
      <c r="C122" s="1" t="s">
        <v>707</v>
      </c>
      <c r="D122" s="1" t="s">
        <v>696</v>
      </c>
      <c r="E122" s="1" t="s">
        <v>774</v>
      </c>
      <c r="F122" s="6" t="s">
        <v>30</v>
      </c>
      <c r="G122" s="1" t="s">
        <v>186</v>
      </c>
      <c r="H122" s="7" t="s">
        <v>27</v>
      </c>
      <c r="I122" s="1" t="s">
        <v>775</v>
      </c>
      <c r="J122" s="1" t="s">
        <v>776</v>
      </c>
      <c r="K122" s="1" t="s">
        <v>777</v>
      </c>
      <c r="L122" s="1" t="s">
        <v>59</v>
      </c>
      <c r="M122" s="8" t="s">
        <v>23</v>
      </c>
      <c r="N122" s="8" t="s">
        <v>59</v>
      </c>
      <c r="O122" s="1" t="s">
        <v>59</v>
      </c>
      <c r="P122" s="1" t="s">
        <v>101</v>
      </c>
    </row>
    <row r="123" spans="1:16" ht="72" x14ac:dyDescent="0.3">
      <c r="A123" s="1" t="s">
        <v>778</v>
      </c>
      <c r="B123" s="1" t="s">
        <v>646</v>
      </c>
      <c r="C123" s="1" t="s">
        <v>779</v>
      </c>
      <c r="D123" s="1" t="s">
        <v>780</v>
      </c>
      <c r="E123" s="1" t="s">
        <v>781</v>
      </c>
      <c r="F123" s="6" t="s">
        <v>25</v>
      </c>
      <c r="G123" s="1" t="s">
        <v>782</v>
      </c>
      <c r="H123" s="7" t="s">
        <v>24</v>
      </c>
      <c r="I123" s="1" t="s">
        <v>783</v>
      </c>
      <c r="J123" s="1" t="s">
        <v>784</v>
      </c>
      <c r="K123" s="1" t="s">
        <v>785</v>
      </c>
      <c r="L123" s="1" t="s">
        <v>59</v>
      </c>
      <c r="M123" s="8" t="s">
        <v>23</v>
      </c>
      <c r="N123" s="8" t="s">
        <v>59</v>
      </c>
      <c r="O123" s="1" t="s">
        <v>59</v>
      </c>
      <c r="P123" s="1" t="s">
        <v>60</v>
      </c>
    </row>
    <row r="124" spans="1:16" ht="57.6" x14ac:dyDescent="0.3">
      <c r="A124" s="1" t="s">
        <v>786</v>
      </c>
      <c r="B124" s="1" t="s">
        <v>646</v>
      </c>
      <c r="C124" s="1" t="s">
        <v>779</v>
      </c>
      <c r="D124" s="1" t="s">
        <v>787</v>
      </c>
      <c r="E124" s="1" t="s">
        <v>788</v>
      </c>
      <c r="F124" s="6" t="s">
        <v>28</v>
      </c>
      <c r="G124" s="1" t="s">
        <v>782</v>
      </c>
      <c r="H124" s="7" t="s">
        <v>27</v>
      </c>
      <c r="I124" s="1" t="s">
        <v>658</v>
      </c>
      <c r="J124" s="1" t="s">
        <v>789</v>
      </c>
      <c r="K124" s="1" t="s">
        <v>790</v>
      </c>
      <c r="L124" s="1" t="s">
        <v>59</v>
      </c>
      <c r="M124" s="8" t="s">
        <v>23</v>
      </c>
      <c r="N124" s="8" t="s">
        <v>59</v>
      </c>
      <c r="O124" s="1" t="s">
        <v>59</v>
      </c>
      <c r="P124" s="1" t="s">
        <v>60</v>
      </c>
    </row>
    <row r="125" spans="1:16" ht="57.6" x14ac:dyDescent="0.3">
      <c r="A125" s="1" t="s">
        <v>791</v>
      </c>
      <c r="B125" s="1" t="s">
        <v>646</v>
      </c>
      <c r="C125" s="1" t="s">
        <v>779</v>
      </c>
      <c r="D125" s="1" t="s">
        <v>792</v>
      </c>
      <c r="E125" s="1" t="s">
        <v>793</v>
      </c>
      <c r="F125" s="6" t="s">
        <v>31</v>
      </c>
      <c r="G125" s="1" t="s">
        <v>794</v>
      </c>
      <c r="H125" s="7" t="s">
        <v>27</v>
      </c>
      <c r="I125" s="1" t="s">
        <v>795</v>
      </c>
      <c r="J125" s="1" t="s">
        <v>796</v>
      </c>
      <c r="K125" s="1" t="s">
        <v>797</v>
      </c>
      <c r="L125" s="1" t="s">
        <v>59</v>
      </c>
      <c r="M125" s="8" t="s">
        <v>23</v>
      </c>
      <c r="N125" s="8" t="s">
        <v>59</v>
      </c>
      <c r="O125" s="1" t="s">
        <v>59</v>
      </c>
      <c r="P125" s="1" t="s">
        <v>81</v>
      </c>
    </row>
    <row r="126" spans="1:16" ht="57.6" x14ac:dyDescent="0.3">
      <c r="A126" s="1" t="s">
        <v>798</v>
      </c>
      <c r="B126" s="1" t="s">
        <v>646</v>
      </c>
      <c r="C126" s="1" t="s">
        <v>779</v>
      </c>
      <c r="D126" s="1" t="s">
        <v>799</v>
      </c>
      <c r="E126" s="1" t="s">
        <v>800</v>
      </c>
      <c r="F126" s="6" t="s">
        <v>25</v>
      </c>
      <c r="G126" s="1" t="s">
        <v>180</v>
      </c>
      <c r="H126" s="7" t="s">
        <v>27</v>
      </c>
      <c r="I126" s="1" t="s">
        <v>801</v>
      </c>
      <c r="J126" s="1" t="s">
        <v>802</v>
      </c>
      <c r="K126" s="1" t="s">
        <v>803</v>
      </c>
      <c r="L126" s="1" t="s">
        <v>59</v>
      </c>
      <c r="M126" s="8" t="s">
        <v>23</v>
      </c>
      <c r="N126" s="8" t="s">
        <v>59</v>
      </c>
      <c r="O126" s="1" t="s">
        <v>59</v>
      </c>
      <c r="P126" s="1" t="s">
        <v>263</v>
      </c>
    </row>
    <row r="127" spans="1:16" ht="43.2" x14ac:dyDescent="0.3">
      <c r="A127" s="1" t="s">
        <v>804</v>
      </c>
      <c r="B127" s="1" t="s">
        <v>646</v>
      </c>
      <c r="C127" s="1" t="s">
        <v>779</v>
      </c>
      <c r="D127" s="1" t="s">
        <v>805</v>
      </c>
      <c r="E127" s="1" t="s">
        <v>806</v>
      </c>
      <c r="F127" s="6" t="s">
        <v>31</v>
      </c>
      <c r="G127" s="1" t="s">
        <v>180</v>
      </c>
      <c r="H127" s="7" t="s">
        <v>27</v>
      </c>
      <c r="I127" s="1" t="s">
        <v>807</v>
      </c>
      <c r="J127" s="1" t="s">
        <v>808</v>
      </c>
      <c r="K127" s="1" t="s">
        <v>809</v>
      </c>
      <c r="L127" s="1" t="s">
        <v>59</v>
      </c>
      <c r="M127" s="8" t="s">
        <v>23</v>
      </c>
      <c r="N127" s="8" t="s">
        <v>59</v>
      </c>
      <c r="O127" s="1" t="s">
        <v>59</v>
      </c>
      <c r="P127" s="1" t="s">
        <v>60</v>
      </c>
    </row>
    <row r="128" spans="1:16" ht="57.6" x14ac:dyDescent="0.3">
      <c r="A128" s="1" t="s">
        <v>810</v>
      </c>
      <c r="B128" s="1" t="s">
        <v>646</v>
      </c>
      <c r="C128" s="1" t="s">
        <v>779</v>
      </c>
      <c r="D128" s="1" t="s">
        <v>811</v>
      </c>
      <c r="E128" s="1" t="s">
        <v>812</v>
      </c>
      <c r="F128" s="6" t="s">
        <v>31</v>
      </c>
      <c r="G128" s="1" t="s">
        <v>180</v>
      </c>
      <c r="H128" s="7" t="s">
        <v>24</v>
      </c>
      <c r="I128" s="1" t="s">
        <v>813</v>
      </c>
      <c r="J128" s="1" t="s">
        <v>814</v>
      </c>
      <c r="K128" s="1" t="s">
        <v>815</v>
      </c>
      <c r="L128" s="1" t="s">
        <v>59</v>
      </c>
      <c r="M128" s="8" t="s">
        <v>23</v>
      </c>
      <c r="N128" s="8" t="s">
        <v>59</v>
      </c>
      <c r="O128" s="1" t="s">
        <v>59</v>
      </c>
      <c r="P128" s="1" t="s">
        <v>60</v>
      </c>
    </row>
    <row r="129" spans="1:16" ht="57.6" x14ac:dyDescent="0.3">
      <c r="A129" s="1" t="s">
        <v>816</v>
      </c>
      <c r="B129" s="1" t="s">
        <v>646</v>
      </c>
      <c r="C129" s="1" t="s">
        <v>779</v>
      </c>
      <c r="D129" s="1" t="s">
        <v>817</v>
      </c>
      <c r="E129" s="1" t="s">
        <v>818</v>
      </c>
      <c r="F129" s="6" t="s">
        <v>31</v>
      </c>
      <c r="G129" s="1" t="s">
        <v>180</v>
      </c>
      <c r="H129" s="7" t="s">
        <v>24</v>
      </c>
      <c r="I129" s="1" t="s">
        <v>819</v>
      </c>
      <c r="J129" s="1" t="s">
        <v>820</v>
      </c>
      <c r="K129" s="1" t="s">
        <v>821</v>
      </c>
      <c r="L129" s="1" t="s">
        <v>59</v>
      </c>
      <c r="M129" s="8" t="s">
        <v>23</v>
      </c>
      <c r="N129" s="8" t="s">
        <v>59</v>
      </c>
      <c r="O129" s="1" t="s">
        <v>59</v>
      </c>
      <c r="P129" s="1" t="s">
        <v>60</v>
      </c>
    </row>
    <row r="130" spans="1:16" ht="57.6" x14ac:dyDescent="0.3">
      <c r="A130" s="1" t="s">
        <v>822</v>
      </c>
      <c r="B130" s="1" t="s">
        <v>646</v>
      </c>
      <c r="C130" s="1" t="s">
        <v>779</v>
      </c>
      <c r="D130" s="1" t="s">
        <v>823</v>
      </c>
      <c r="E130" s="1" t="s">
        <v>824</v>
      </c>
      <c r="F130" s="6" t="s">
        <v>31</v>
      </c>
      <c r="G130" s="1" t="s">
        <v>330</v>
      </c>
      <c r="H130" s="7" t="s">
        <v>24</v>
      </c>
      <c r="I130" s="1" t="s">
        <v>825</v>
      </c>
      <c r="J130" s="1" t="s">
        <v>826</v>
      </c>
      <c r="K130" s="1" t="s">
        <v>827</v>
      </c>
      <c r="L130" s="1" t="s">
        <v>59</v>
      </c>
      <c r="M130" s="8" t="s">
        <v>23</v>
      </c>
      <c r="N130" s="8" t="s">
        <v>59</v>
      </c>
      <c r="O130" s="1" t="s">
        <v>59</v>
      </c>
      <c r="P130" s="1" t="s">
        <v>263</v>
      </c>
    </row>
    <row r="131" spans="1:16" ht="57.6" x14ac:dyDescent="0.3">
      <c r="A131" s="1" t="s">
        <v>828</v>
      </c>
      <c r="B131" s="1" t="s">
        <v>646</v>
      </c>
      <c r="C131" s="1" t="s">
        <v>779</v>
      </c>
      <c r="D131" s="1" t="s">
        <v>829</v>
      </c>
      <c r="E131" s="1" t="s">
        <v>830</v>
      </c>
      <c r="F131" s="6" t="s">
        <v>31</v>
      </c>
      <c r="G131" s="1" t="s">
        <v>180</v>
      </c>
      <c r="H131" s="7" t="s">
        <v>24</v>
      </c>
      <c r="I131" s="1" t="s">
        <v>831</v>
      </c>
      <c r="J131" s="1" t="s">
        <v>832</v>
      </c>
      <c r="K131" s="1" t="s">
        <v>833</v>
      </c>
      <c r="L131" s="1" t="s">
        <v>59</v>
      </c>
      <c r="M131" s="8" t="s">
        <v>23</v>
      </c>
      <c r="N131" s="8" t="s">
        <v>59</v>
      </c>
      <c r="O131" s="1" t="s">
        <v>59</v>
      </c>
      <c r="P131" s="1" t="s">
        <v>263</v>
      </c>
    </row>
    <row r="132" spans="1:16" ht="43.2" x14ac:dyDescent="0.3">
      <c r="A132" s="1" t="s">
        <v>834</v>
      </c>
      <c r="B132" s="1" t="s">
        <v>646</v>
      </c>
      <c r="C132" s="1" t="s">
        <v>779</v>
      </c>
      <c r="D132" s="1" t="s">
        <v>835</v>
      </c>
      <c r="E132" s="1" t="s">
        <v>836</v>
      </c>
      <c r="F132" s="6" t="s">
        <v>28</v>
      </c>
      <c r="G132" s="1" t="s">
        <v>180</v>
      </c>
      <c r="H132" s="7" t="s">
        <v>24</v>
      </c>
      <c r="I132" s="1" t="s">
        <v>837</v>
      </c>
      <c r="J132" s="1" t="s">
        <v>838</v>
      </c>
      <c r="K132" s="1" t="s">
        <v>839</v>
      </c>
      <c r="L132" s="1" t="s">
        <v>59</v>
      </c>
      <c r="M132" s="8" t="s">
        <v>23</v>
      </c>
      <c r="N132" s="8" t="s">
        <v>59</v>
      </c>
      <c r="O132" s="1" t="s">
        <v>59</v>
      </c>
      <c r="P132" s="1" t="s">
        <v>88</v>
      </c>
    </row>
    <row r="133" spans="1:16" ht="57.6" x14ac:dyDescent="0.3">
      <c r="A133" s="1" t="s">
        <v>840</v>
      </c>
      <c r="B133" s="1" t="s">
        <v>646</v>
      </c>
      <c r="C133" s="1" t="s">
        <v>779</v>
      </c>
      <c r="D133" s="1" t="s">
        <v>450</v>
      </c>
      <c r="E133" s="1" t="s">
        <v>841</v>
      </c>
      <c r="F133" s="6" t="s">
        <v>30</v>
      </c>
      <c r="G133" s="1" t="s">
        <v>186</v>
      </c>
      <c r="H133" s="7" t="s">
        <v>27</v>
      </c>
      <c r="I133" s="1" t="s">
        <v>842</v>
      </c>
      <c r="J133" s="1" t="s">
        <v>843</v>
      </c>
      <c r="K133" s="1" t="s">
        <v>844</v>
      </c>
      <c r="L133" s="1" t="s">
        <v>59</v>
      </c>
      <c r="M133" s="8" t="s">
        <v>23</v>
      </c>
      <c r="N133" s="8" t="s">
        <v>59</v>
      </c>
      <c r="O133" s="1" t="s">
        <v>59</v>
      </c>
      <c r="P133" s="1" t="s">
        <v>101</v>
      </c>
    </row>
    <row r="134" spans="1:16" ht="43.2" x14ac:dyDescent="0.3">
      <c r="A134" s="1" t="s">
        <v>845</v>
      </c>
      <c r="B134" s="1" t="s">
        <v>646</v>
      </c>
      <c r="C134" s="1" t="s">
        <v>779</v>
      </c>
      <c r="D134" s="1" t="s">
        <v>387</v>
      </c>
      <c r="E134" s="1" t="s">
        <v>846</v>
      </c>
      <c r="F134" s="6" t="s">
        <v>30</v>
      </c>
      <c r="G134" s="1" t="s">
        <v>173</v>
      </c>
      <c r="H134" s="7" t="s">
        <v>24</v>
      </c>
      <c r="I134" s="1" t="s">
        <v>847</v>
      </c>
      <c r="J134" s="1" t="s">
        <v>848</v>
      </c>
      <c r="K134" s="1" t="s">
        <v>849</v>
      </c>
      <c r="L134" s="1" t="s">
        <v>59</v>
      </c>
      <c r="M134" s="8" t="s">
        <v>23</v>
      </c>
      <c r="N134" s="8" t="s">
        <v>59</v>
      </c>
      <c r="O134" s="1" t="s">
        <v>59</v>
      </c>
      <c r="P134" s="1" t="s">
        <v>101</v>
      </c>
    </row>
    <row r="135" spans="1:16" ht="43.2" x14ac:dyDescent="0.3">
      <c r="A135" s="1" t="s">
        <v>850</v>
      </c>
      <c r="B135" s="1" t="s">
        <v>646</v>
      </c>
      <c r="C135" s="1" t="s">
        <v>851</v>
      </c>
      <c r="D135" s="1" t="s">
        <v>852</v>
      </c>
      <c r="E135" s="1" t="s">
        <v>853</v>
      </c>
      <c r="F135" s="6" t="s">
        <v>25</v>
      </c>
      <c r="G135" s="1" t="s">
        <v>212</v>
      </c>
      <c r="H135" s="7" t="s">
        <v>24</v>
      </c>
      <c r="I135" s="1" t="s">
        <v>854</v>
      </c>
      <c r="J135" s="1" t="s">
        <v>855</v>
      </c>
      <c r="K135" s="1" t="s">
        <v>856</v>
      </c>
      <c r="L135" s="1" t="s">
        <v>59</v>
      </c>
      <c r="M135" s="8" t="s">
        <v>23</v>
      </c>
      <c r="N135" s="8" t="s">
        <v>59</v>
      </c>
      <c r="O135" s="1" t="s">
        <v>59</v>
      </c>
      <c r="P135" s="1" t="s">
        <v>857</v>
      </c>
    </row>
    <row r="136" spans="1:16" ht="57.6" x14ac:dyDescent="0.3">
      <c r="A136" s="1" t="s">
        <v>858</v>
      </c>
      <c r="B136" s="1" t="s">
        <v>646</v>
      </c>
      <c r="C136" s="1" t="s">
        <v>851</v>
      </c>
      <c r="D136" s="1" t="s">
        <v>859</v>
      </c>
      <c r="E136" s="1" t="s">
        <v>860</v>
      </c>
      <c r="F136" s="6" t="s">
        <v>25</v>
      </c>
      <c r="G136" s="1" t="s">
        <v>212</v>
      </c>
      <c r="H136" s="7" t="s">
        <v>24</v>
      </c>
      <c r="I136" s="1" t="s">
        <v>861</v>
      </c>
      <c r="J136" s="1" t="s">
        <v>862</v>
      </c>
      <c r="K136" s="1" t="s">
        <v>863</v>
      </c>
      <c r="L136" s="1" t="s">
        <v>59</v>
      </c>
      <c r="M136" s="8" t="s">
        <v>23</v>
      </c>
      <c r="N136" s="8" t="s">
        <v>59</v>
      </c>
      <c r="O136" s="1" t="s">
        <v>59</v>
      </c>
      <c r="P136" s="1" t="s">
        <v>88</v>
      </c>
    </row>
    <row r="137" spans="1:16" ht="57.6" x14ac:dyDescent="0.3">
      <c r="A137" s="1" t="s">
        <v>864</v>
      </c>
      <c r="B137" s="1" t="s">
        <v>646</v>
      </c>
      <c r="C137" s="1" t="s">
        <v>851</v>
      </c>
      <c r="D137" s="1" t="s">
        <v>865</v>
      </c>
      <c r="E137" s="1" t="s">
        <v>866</v>
      </c>
      <c r="F137" s="6" t="s">
        <v>25</v>
      </c>
      <c r="G137" s="1" t="s">
        <v>212</v>
      </c>
      <c r="H137" s="7" t="s">
        <v>24</v>
      </c>
      <c r="I137" s="1" t="s">
        <v>867</v>
      </c>
      <c r="J137" s="1" t="s">
        <v>868</v>
      </c>
      <c r="K137" s="1" t="s">
        <v>869</v>
      </c>
      <c r="L137" s="1" t="s">
        <v>59</v>
      </c>
      <c r="M137" s="8" t="s">
        <v>23</v>
      </c>
      <c r="N137" s="8" t="s">
        <v>59</v>
      </c>
      <c r="O137" s="1" t="s">
        <v>59</v>
      </c>
      <c r="P137" s="1" t="s">
        <v>88</v>
      </c>
    </row>
    <row r="138" spans="1:16" ht="57.6" x14ac:dyDescent="0.3">
      <c r="A138" s="1" t="s">
        <v>870</v>
      </c>
      <c r="B138" s="1" t="s">
        <v>646</v>
      </c>
      <c r="C138" s="1" t="s">
        <v>851</v>
      </c>
      <c r="D138" s="1" t="s">
        <v>871</v>
      </c>
      <c r="E138" s="1" t="s">
        <v>872</v>
      </c>
      <c r="F138" s="6" t="s">
        <v>31</v>
      </c>
      <c r="G138" s="1" t="s">
        <v>212</v>
      </c>
      <c r="H138" s="7" t="s">
        <v>27</v>
      </c>
      <c r="I138" s="1" t="s">
        <v>873</v>
      </c>
      <c r="J138" s="1" t="s">
        <v>874</v>
      </c>
      <c r="K138" s="1" t="s">
        <v>875</v>
      </c>
      <c r="L138" s="1" t="s">
        <v>59</v>
      </c>
      <c r="M138" s="8" t="s">
        <v>23</v>
      </c>
      <c r="N138" s="8" t="s">
        <v>59</v>
      </c>
      <c r="O138" s="1" t="s">
        <v>59</v>
      </c>
      <c r="P138" s="1" t="s">
        <v>88</v>
      </c>
    </row>
    <row r="139" spans="1:16" ht="57.6" x14ac:dyDescent="0.3">
      <c r="A139" s="1" t="s">
        <v>876</v>
      </c>
      <c r="B139" s="1" t="s">
        <v>646</v>
      </c>
      <c r="C139" s="1" t="s">
        <v>851</v>
      </c>
      <c r="D139" s="1" t="s">
        <v>877</v>
      </c>
      <c r="E139" s="1" t="s">
        <v>878</v>
      </c>
      <c r="F139" s="6" t="s">
        <v>25</v>
      </c>
      <c r="G139" s="1" t="s">
        <v>180</v>
      </c>
      <c r="H139" s="7" t="s">
        <v>24</v>
      </c>
      <c r="I139" s="1" t="s">
        <v>879</v>
      </c>
      <c r="J139" s="1" t="s">
        <v>880</v>
      </c>
      <c r="K139" s="1" t="s">
        <v>881</v>
      </c>
      <c r="L139" s="1" t="s">
        <v>59</v>
      </c>
      <c r="M139" s="8" t="s">
        <v>23</v>
      </c>
      <c r="N139" s="8" t="s">
        <v>59</v>
      </c>
      <c r="O139" s="1" t="s">
        <v>59</v>
      </c>
      <c r="P139" s="1" t="s">
        <v>263</v>
      </c>
    </row>
    <row r="140" spans="1:16" ht="43.2" x14ac:dyDescent="0.3">
      <c r="A140" s="1" t="s">
        <v>882</v>
      </c>
      <c r="B140" s="1" t="s">
        <v>646</v>
      </c>
      <c r="C140" s="1" t="s">
        <v>851</v>
      </c>
      <c r="D140" s="1" t="s">
        <v>883</v>
      </c>
      <c r="E140" s="1" t="s">
        <v>884</v>
      </c>
      <c r="F140" s="6" t="s">
        <v>25</v>
      </c>
      <c r="G140" s="1" t="s">
        <v>180</v>
      </c>
      <c r="H140" s="7" t="s">
        <v>27</v>
      </c>
      <c r="I140" s="1" t="s">
        <v>885</v>
      </c>
      <c r="J140" s="1" t="s">
        <v>886</v>
      </c>
      <c r="K140" s="1" t="s">
        <v>887</v>
      </c>
      <c r="L140" s="1" t="s">
        <v>59</v>
      </c>
      <c r="M140" s="8" t="s">
        <v>23</v>
      </c>
      <c r="N140" s="8" t="s">
        <v>59</v>
      </c>
      <c r="O140" s="1" t="s">
        <v>59</v>
      </c>
      <c r="P140" s="1" t="s">
        <v>81</v>
      </c>
    </row>
    <row r="141" spans="1:16" ht="43.2" x14ac:dyDescent="0.3">
      <c r="A141" s="1" t="s">
        <v>888</v>
      </c>
      <c r="B141" s="1" t="s">
        <v>646</v>
      </c>
      <c r="C141" s="1" t="s">
        <v>851</v>
      </c>
      <c r="D141" s="1" t="s">
        <v>889</v>
      </c>
      <c r="E141" s="1" t="s">
        <v>890</v>
      </c>
      <c r="F141" s="6" t="s">
        <v>28</v>
      </c>
      <c r="G141" s="1" t="s">
        <v>180</v>
      </c>
      <c r="H141" s="7" t="s">
        <v>24</v>
      </c>
      <c r="I141" s="1" t="s">
        <v>891</v>
      </c>
      <c r="J141" s="1" t="s">
        <v>892</v>
      </c>
      <c r="K141" s="1" t="s">
        <v>893</v>
      </c>
      <c r="L141" s="1" t="s">
        <v>59</v>
      </c>
      <c r="M141" s="8" t="s">
        <v>23</v>
      </c>
      <c r="N141" s="8" t="s">
        <v>59</v>
      </c>
      <c r="O141" s="1" t="s">
        <v>59</v>
      </c>
      <c r="P141" s="1" t="s">
        <v>88</v>
      </c>
    </row>
    <row r="142" spans="1:16" ht="57.6" x14ac:dyDescent="0.3">
      <c r="A142" s="1" t="s">
        <v>894</v>
      </c>
      <c r="B142" s="1" t="s">
        <v>646</v>
      </c>
      <c r="C142" s="1" t="s">
        <v>851</v>
      </c>
      <c r="D142" s="1" t="s">
        <v>340</v>
      </c>
      <c r="E142" s="1" t="s">
        <v>895</v>
      </c>
      <c r="F142" s="6" t="s">
        <v>30</v>
      </c>
      <c r="G142" s="1" t="s">
        <v>219</v>
      </c>
      <c r="H142" s="7" t="s">
        <v>24</v>
      </c>
      <c r="I142" s="1" t="s">
        <v>896</v>
      </c>
      <c r="J142" s="1" t="s">
        <v>897</v>
      </c>
      <c r="K142" s="1" t="s">
        <v>898</v>
      </c>
      <c r="L142" s="1" t="s">
        <v>59</v>
      </c>
      <c r="M142" s="8" t="s">
        <v>23</v>
      </c>
      <c r="N142" s="8" t="s">
        <v>59</v>
      </c>
      <c r="O142" s="1" t="s">
        <v>59</v>
      </c>
      <c r="P142" s="1" t="s">
        <v>101</v>
      </c>
    </row>
    <row r="143" spans="1:16" ht="57.6" x14ac:dyDescent="0.3">
      <c r="A143" s="1" t="s">
        <v>899</v>
      </c>
      <c r="B143" s="1" t="s">
        <v>646</v>
      </c>
      <c r="C143" s="1" t="s">
        <v>851</v>
      </c>
      <c r="D143" s="1" t="s">
        <v>900</v>
      </c>
      <c r="E143" s="1" t="s">
        <v>901</v>
      </c>
      <c r="F143" s="6" t="s">
        <v>31</v>
      </c>
      <c r="G143" s="1" t="s">
        <v>212</v>
      </c>
      <c r="H143" s="7" t="s">
        <v>24</v>
      </c>
      <c r="I143" s="1" t="s">
        <v>902</v>
      </c>
      <c r="J143" s="1" t="s">
        <v>903</v>
      </c>
      <c r="K143" s="1" t="s">
        <v>904</v>
      </c>
      <c r="L143" s="1" t="s">
        <v>59</v>
      </c>
      <c r="M143" s="8" t="s">
        <v>23</v>
      </c>
      <c r="N143" s="8" t="s">
        <v>59</v>
      </c>
      <c r="O143" s="1" t="s">
        <v>59</v>
      </c>
      <c r="P143" s="1" t="s">
        <v>81</v>
      </c>
    </row>
    <row r="144" spans="1:16" ht="43.2" x14ac:dyDescent="0.3">
      <c r="A144" s="1" t="s">
        <v>905</v>
      </c>
      <c r="B144" s="1" t="s">
        <v>646</v>
      </c>
      <c r="C144" s="1" t="s">
        <v>851</v>
      </c>
      <c r="D144" s="1" t="s">
        <v>906</v>
      </c>
      <c r="E144" s="1" t="s">
        <v>907</v>
      </c>
      <c r="F144" s="6" t="s">
        <v>28</v>
      </c>
      <c r="G144" s="1" t="s">
        <v>908</v>
      </c>
      <c r="H144" s="7" t="s">
        <v>27</v>
      </c>
      <c r="I144" s="1" t="s">
        <v>909</v>
      </c>
      <c r="J144" s="1" t="s">
        <v>910</v>
      </c>
      <c r="K144" s="1" t="s">
        <v>911</v>
      </c>
      <c r="L144" s="1" t="s">
        <v>59</v>
      </c>
      <c r="M144" s="8" t="s">
        <v>23</v>
      </c>
      <c r="N144" s="8" t="s">
        <v>59</v>
      </c>
      <c r="O144" s="1" t="s">
        <v>59</v>
      </c>
      <c r="P144" s="1" t="s">
        <v>88</v>
      </c>
    </row>
    <row r="145" spans="1:16" ht="72" x14ac:dyDescent="0.3">
      <c r="A145" s="1" t="s">
        <v>912</v>
      </c>
      <c r="B145" s="1" t="s">
        <v>577</v>
      </c>
      <c r="C145" s="1" t="s">
        <v>913</v>
      </c>
      <c r="D145" s="1" t="s">
        <v>914</v>
      </c>
      <c r="E145" s="1" t="s">
        <v>915</v>
      </c>
      <c r="F145" s="6" t="s">
        <v>25</v>
      </c>
      <c r="G145" s="1" t="s">
        <v>916</v>
      </c>
      <c r="H145" s="7" t="s">
        <v>24</v>
      </c>
      <c r="I145" s="1" t="s">
        <v>917</v>
      </c>
      <c r="J145" s="1" t="s">
        <v>918</v>
      </c>
      <c r="K145" s="1" t="s">
        <v>919</v>
      </c>
      <c r="L145" s="1" t="s">
        <v>59</v>
      </c>
      <c r="M145" s="8" t="s">
        <v>23</v>
      </c>
      <c r="N145" s="8" t="s">
        <v>59</v>
      </c>
      <c r="O145" s="1" t="s">
        <v>59</v>
      </c>
      <c r="P145" s="1" t="s">
        <v>81</v>
      </c>
    </row>
    <row r="146" spans="1:16" ht="72" x14ac:dyDescent="0.3">
      <c r="A146" s="1" t="s">
        <v>920</v>
      </c>
      <c r="B146" s="1" t="s">
        <v>577</v>
      </c>
      <c r="C146" s="1" t="s">
        <v>913</v>
      </c>
      <c r="D146" s="1" t="s">
        <v>921</v>
      </c>
      <c r="E146" s="1" t="s">
        <v>922</v>
      </c>
      <c r="F146" s="6" t="s">
        <v>25</v>
      </c>
      <c r="G146" s="1" t="s">
        <v>916</v>
      </c>
      <c r="H146" s="7" t="s">
        <v>24</v>
      </c>
      <c r="I146" s="1" t="s">
        <v>923</v>
      </c>
      <c r="J146" s="1" t="s">
        <v>924</v>
      </c>
      <c r="K146" s="1" t="s">
        <v>925</v>
      </c>
      <c r="L146" s="1" t="s">
        <v>59</v>
      </c>
      <c r="M146" s="8" t="s">
        <v>23</v>
      </c>
      <c r="N146" s="8" t="s">
        <v>59</v>
      </c>
      <c r="O146" s="1" t="s">
        <v>59</v>
      </c>
      <c r="P146" s="1" t="s">
        <v>81</v>
      </c>
    </row>
    <row r="147" spans="1:16" ht="72" x14ac:dyDescent="0.3">
      <c r="A147" s="1" t="s">
        <v>926</v>
      </c>
      <c r="B147" s="1" t="s">
        <v>577</v>
      </c>
      <c r="C147" s="1" t="s">
        <v>913</v>
      </c>
      <c r="D147" s="1" t="s">
        <v>927</v>
      </c>
      <c r="E147" s="1" t="s">
        <v>928</v>
      </c>
      <c r="F147" s="6" t="s">
        <v>31</v>
      </c>
      <c r="G147" s="1" t="s">
        <v>916</v>
      </c>
      <c r="H147" s="7" t="s">
        <v>24</v>
      </c>
      <c r="I147" s="1" t="s">
        <v>929</v>
      </c>
      <c r="J147" s="1" t="s">
        <v>930</v>
      </c>
      <c r="K147" s="1" t="s">
        <v>931</v>
      </c>
      <c r="L147" s="1" t="s">
        <v>59</v>
      </c>
      <c r="M147" s="8" t="s">
        <v>23</v>
      </c>
      <c r="N147" s="8" t="s">
        <v>59</v>
      </c>
      <c r="O147" s="1" t="s">
        <v>59</v>
      </c>
      <c r="P147" s="1" t="s">
        <v>81</v>
      </c>
    </row>
    <row r="148" spans="1:16" ht="43.2" x14ac:dyDescent="0.3">
      <c r="A148" s="1" t="s">
        <v>932</v>
      </c>
      <c r="B148" s="1" t="s">
        <v>577</v>
      </c>
      <c r="C148" s="1" t="s">
        <v>913</v>
      </c>
      <c r="D148" s="1" t="s">
        <v>933</v>
      </c>
      <c r="E148" s="1" t="s">
        <v>934</v>
      </c>
      <c r="F148" s="6" t="s">
        <v>25</v>
      </c>
      <c r="G148" s="1" t="s">
        <v>916</v>
      </c>
      <c r="H148" s="7" t="s">
        <v>27</v>
      </c>
      <c r="I148" s="1" t="s">
        <v>935</v>
      </c>
      <c r="J148" s="1" t="s">
        <v>936</v>
      </c>
      <c r="K148" s="1" t="s">
        <v>937</v>
      </c>
      <c r="L148" s="1" t="s">
        <v>59</v>
      </c>
      <c r="M148" s="8" t="s">
        <v>23</v>
      </c>
      <c r="N148" s="8" t="s">
        <v>59</v>
      </c>
      <c r="O148" s="1" t="s">
        <v>59</v>
      </c>
      <c r="P148" s="1" t="s">
        <v>81</v>
      </c>
    </row>
    <row r="149" spans="1:16" ht="43.2" x14ac:dyDescent="0.3">
      <c r="A149" s="1" t="s">
        <v>938</v>
      </c>
      <c r="B149" s="1" t="s">
        <v>577</v>
      </c>
      <c r="C149" s="1" t="s">
        <v>913</v>
      </c>
      <c r="D149" s="1" t="s">
        <v>696</v>
      </c>
      <c r="E149" s="1" t="s">
        <v>939</v>
      </c>
      <c r="F149" s="6" t="s">
        <v>30</v>
      </c>
      <c r="G149" s="1" t="s">
        <v>940</v>
      </c>
      <c r="H149" s="7" t="s">
        <v>27</v>
      </c>
      <c r="I149" s="1" t="s">
        <v>941</v>
      </c>
      <c r="J149" s="1" t="s">
        <v>942</v>
      </c>
      <c r="K149" s="1" t="s">
        <v>943</v>
      </c>
      <c r="L149" s="1" t="s">
        <v>59</v>
      </c>
      <c r="M149" s="8" t="s">
        <v>23</v>
      </c>
      <c r="N149" s="8" t="s">
        <v>59</v>
      </c>
      <c r="O149" s="1" t="s">
        <v>59</v>
      </c>
      <c r="P149" s="1" t="s">
        <v>88</v>
      </c>
    </row>
    <row r="150" spans="1:16" ht="57.6" x14ac:dyDescent="0.3">
      <c r="A150" s="1" t="s">
        <v>944</v>
      </c>
      <c r="B150" s="1" t="s">
        <v>577</v>
      </c>
      <c r="C150" s="1" t="s">
        <v>913</v>
      </c>
      <c r="D150" s="1" t="s">
        <v>945</v>
      </c>
      <c r="E150" s="1" t="s">
        <v>946</v>
      </c>
      <c r="F150" s="6" t="s">
        <v>25</v>
      </c>
      <c r="G150" s="1" t="s">
        <v>180</v>
      </c>
      <c r="H150" s="7" t="s">
        <v>24</v>
      </c>
      <c r="I150" s="1" t="s">
        <v>947</v>
      </c>
      <c r="J150" s="1" t="s">
        <v>948</v>
      </c>
      <c r="K150" s="1" t="s">
        <v>949</v>
      </c>
      <c r="L150" s="1" t="s">
        <v>59</v>
      </c>
      <c r="M150" s="8" t="s">
        <v>23</v>
      </c>
      <c r="N150" s="8" t="s">
        <v>59</v>
      </c>
      <c r="O150" s="1" t="s">
        <v>59</v>
      </c>
      <c r="P150" s="1" t="s">
        <v>263</v>
      </c>
    </row>
    <row r="151" spans="1:16" ht="43.2" x14ac:dyDescent="0.3">
      <c r="A151" s="1" t="s">
        <v>950</v>
      </c>
      <c r="B151" s="1" t="s">
        <v>577</v>
      </c>
      <c r="C151" s="1" t="s">
        <v>913</v>
      </c>
      <c r="D151" s="1" t="s">
        <v>951</v>
      </c>
      <c r="E151" s="1" t="s">
        <v>952</v>
      </c>
      <c r="F151" s="6" t="s">
        <v>25</v>
      </c>
      <c r="G151" s="1" t="s">
        <v>180</v>
      </c>
      <c r="H151" s="7" t="s">
        <v>27</v>
      </c>
      <c r="I151" s="1" t="s">
        <v>953</v>
      </c>
      <c r="J151" s="1" t="s">
        <v>954</v>
      </c>
      <c r="K151" s="1" t="s">
        <v>955</v>
      </c>
      <c r="L151" s="1" t="s">
        <v>59</v>
      </c>
      <c r="M151" s="8" t="s">
        <v>23</v>
      </c>
      <c r="N151" s="8" t="s">
        <v>59</v>
      </c>
      <c r="O151" s="1" t="s">
        <v>59</v>
      </c>
      <c r="P151" s="1" t="s">
        <v>60</v>
      </c>
    </row>
    <row r="152" spans="1:16" ht="57.6" x14ac:dyDescent="0.3">
      <c r="A152" s="1" t="s">
        <v>956</v>
      </c>
      <c r="B152" s="1" t="s">
        <v>577</v>
      </c>
      <c r="C152" s="1" t="s">
        <v>913</v>
      </c>
      <c r="D152" s="1" t="s">
        <v>957</v>
      </c>
      <c r="E152" s="1" t="s">
        <v>958</v>
      </c>
      <c r="F152" s="6" t="s">
        <v>28</v>
      </c>
      <c r="G152" s="1" t="s">
        <v>180</v>
      </c>
      <c r="H152" s="7" t="s">
        <v>27</v>
      </c>
      <c r="I152" s="1" t="s">
        <v>959</v>
      </c>
      <c r="J152" s="1" t="s">
        <v>960</v>
      </c>
      <c r="K152" s="1" t="s">
        <v>961</v>
      </c>
      <c r="L152" s="1" t="s">
        <v>59</v>
      </c>
      <c r="M152" s="8" t="s">
        <v>23</v>
      </c>
      <c r="N152" s="8" t="s">
        <v>59</v>
      </c>
      <c r="O152" s="1" t="s">
        <v>59</v>
      </c>
      <c r="P152" s="1" t="s">
        <v>88</v>
      </c>
    </row>
    <row r="153" spans="1:16" ht="57.6" x14ac:dyDescent="0.3">
      <c r="A153" s="1" t="s">
        <v>962</v>
      </c>
      <c r="B153" s="1" t="s">
        <v>577</v>
      </c>
      <c r="C153" s="1" t="s">
        <v>913</v>
      </c>
      <c r="D153" s="1" t="s">
        <v>963</v>
      </c>
      <c r="E153" s="1" t="s">
        <v>964</v>
      </c>
      <c r="F153" s="6" t="s">
        <v>25</v>
      </c>
      <c r="G153" s="1" t="s">
        <v>180</v>
      </c>
      <c r="H153" s="7" t="s">
        <v>27</v>
      </c>
      <c r="I153" s="1" t="s">
        <v>965</v>
      </c>
      <c r="J153" s="1" t="s">
        <v>966</v>
      </c>
      <c r="K153" s="1" t="s">
        <v>967</v>
      </c>
      <c r="L153" s="1" t="s">
        <v>59</v>
      </c>
      <c r="M153" s="8" t="s">
        <v>23</v>
      </c>
      <c r="N153" s="8" t="s">
        <v>59</v>
      </c>
      <c r="O153" s="1" t="s">
        <v>59</v>
      </c>
      <c r="P153" s="1" t="s">
        <v>263</v>
      </c>
    </row>
    <row r="154" spans="1:16" ht="57.6" x14ac:dyDescent="0.3">
      <c r="A154" s="1" t="s">
        <v>968</v>
      </c>
      <c r="B154" s="1" t="s">
        <v>577</v>
      </c>
      <c r="C154" s="1" t="s">
        <v>913</v>
      </c>
      <c r="D154" s="1" t="s">
        <v>969</v>
      </c>
      <c r="E154" s="1" t="s">
        <v>970</v>
      </c>
      <c r="F154" s="6" t="s">
        <v>30</v>
      </c>
      <c r="G154" s="1" t="s">
        <v>186</v>
      </c>
      <c r="H154" s="7" t="s">
        <v>27</v>
      </c>
      <c r="I154" s="1" t="s">
        <v>971</v>
      </c>
      <c r="J154" s="1" t="s">
        <v>972</v>
      </c>
      <c r="K154" s="1" t="s">
        <v>973</v>
      </c>
      <c r="L154" s="1" t="s">
        <v>59</v>
      </c>
      <c r="M154" s="8" t="s">
        <v>23</v>
      </c>
      <c r="N154" s="8" t="s">
        <v>59</v>
      </c>
      <c r="O154" s="1" t="s">
        <v>59</v>
      </c>
      <c r="P154" s="1" t="s">
        <v>101</v>
      </c>
    </row>
    <row r="155" spans="1:16" ht="43.2" x14ac:dyDescent="0.3">
      <c r="A155" s="1" t="s">
        <v>974</v>
      </c>
      <c r="B155" s="1" t="s">
        <v>577</v>
      </c>
      <c r="C155" s="1" t="s">
        <v>913</v>
      </c>
      <c r="D155" s="1" t="s">
        <v>975</v>
      </c>
      <c r="E155" s="1" t="s">
        <v>976</v>
      </c>
      <c r="F155" s="6" t="s">
        <v>25</v>
      </c>
      <c r="G155" s="1" t="s">
        <v>977</v>
      </c>
      <c r="H155" s="7" t="s">
        <v>27</v>
      </c>
      <c r="I155" s="1" t="s">
        <v>978</v>
      </c>
      <c r="J155" s="1" t="s">
        <v>979</v>
      </c>
      <c r="K155" s="1" t="s">
        <v>980</v>
      </c>
      <c r="L155" s="1" t="s">
        <v>59</v>
      </c>
      <c r="M155" s="8" t="s">
        <v>23</v>
      </c>
      <c r="N155" s="8" t="s">
        <v>59</v>
      </c>
      <c r="O155" s="1" t="s">
        <v>59</v>
      </c>
      <c r="P155" s="1" t="s">
        <v>81</v>
      </c>
    </row>
    <row r="156" spans="1:16" ht="43.2" x14ac:dyDescent="0.3">
      <c r="A156" s="1" t="s">
        <v>981</v>
      </c>
      <c r="B156" s="1" t="s">
        <v>577</v>
      </c>
      <c r="C156" s="1" t="s">
        <v>913</v>
      </c>
      <c r="D156" s="1" t="s">
        <v>387</v>
      </c>
      <c r="E156" s="1" t="s">
        <v>982</v>
      </c>
      <c r="F156" s="6" t="s">
        <v>30</v>
      </c>
      <c r="G156" s="1" t="s">
        <v>173</v>
      </c>
      <c r="H156" s="7" t="s">
        <v>24</v>
      </c>
      <c r="I156" s="1" t="s">
        <v>983</v>
      </c>
      <c r="J156" s="1" t="s">
        <v>984</v>
      </c>
      <c r="K156" s="1" t="s">
        <v>985</v>
      </c>
      <c r="L156" s="1" t="s">
        <v>59</v>
      </c>
      <c r="M156" s="8" t="s">
        <v>23</v>
      </c>
      <c r="N156" s="8" t="s">
        <v>59</v>
      </c>
      <c r="O156" s="1" t="s">
        <v>59</v>
      </c>
      <c r="P156" s="1" t="s">
        <v>101</v>
      </c>
    </row>
    <row r="157" spans="1:16" ht="57.6" x14ac:dyDescent="0.3">
      <c r="A157" s="1" t="s">
        <v>986</v>
      </c>
      <c r="B157" s="1" t="s">
        <v>577</v>
      </c>
      <c r="C157" s="1" t="s">
        <v>987</v>
      </c>
      <c r="D157" s="1" t="s">
        <v>988</v>
      </c>
      <c r="E157" s="1" t="s">
        <v>989</v>
      </c>
      <c r="F157" s="6" t="s">
        <v>25</v>
      </c>
      <c r="G157" s="1" t="s">
        <v>382</v>
      </c>
      <c r="H157" s="7" t="s">
        <v>24</v>
      </c>
      <c r="I157" s="1" t="s">
        <v>990</v>
      </c>
      <c r="J157" s="1" t="s">
        <v>991</v>
      </c>
      <c r="K157" s="1" t="s">
        <v>992</v>
      </c>
      <c r="L157" s="1" t="s">
        <v>59</v>
      </c>
      <c r="M157" s="8" t="s">
        <v>23</v>
      </c>
      <c r="N157" s="8" t="s">
        <v>59</v>
      </c>
      <c r="O157" s="1" t="s">
        <v>59</v>
      </c>
      <c r="P157" s="1" t="s">
        <v>81</v>
      </c>
    </row>
    <row r="158" spans="1:16" ht="72" x14ac:dyDescent="0.3">
      <c r="A158" s="1" t="s">
        <v>993</v>
      </c>
      <c r="B158" s="1" t="s">
        <v>577</v>
      </c>
      <c r="C158" s="1" t="s">
        <v>987</v>
      </c>
      <c r="D158" s="1" t="s">
        <v>994</v>
      </c>
      <c r="E158" s="1" t="s">
        <v>995</v>
      </c>
      <c r="F158" s="6" t="s">
        <v>25</v>
      </c>
      <c r="G158" s="1" t="s">
        <v>382</v>
      </c>
      <c r="H158" s="7" t="s">
        <v>24</v>
      </c>
      <c r="I158" s="1" t="s">
        <v>996</v>
      </c>
      <c r="J158" s="1" t="s">
        <v>997</v>
      </c>
      <c r="K158" s="1" t="s">
        <v>998</v>
      </c>
      <c r="L158" s="1" t="s">
        <v>59</v>
      </c>
      <c r="M158" s="8" t="s">
        <v>23</v>
      </c>
      <c r="N158" s="8" t="s">
        <v>59</v>
      </c>
      <c r="O158" s="1" t="s">
        <v>59</v>
      </c>
      <c r="P158" s="1" t="s">
        <v>88</v>
      </c>
    </row>
    <row r="159" spans="1:16" ht="57.6" x14ac:dyDescent="0.3">
      <c r="A159" s="1" t="s">
        <v>999</v>
      </c>
      <c r="B159" s="1" t="s">
        <v>577</v>
      </c>
      <c r="C159" s="1" t="s">
        <v>987</v>
      </c>
      <c r="D159" s="1" t="s">
        <v>1000</v>
      </c>
      <c r="E159" s="1" t="s">
        <v>1001</v>
      </c>
      <c r="F159" s="6" t="s">
        <v>25</v>
      </c>
      <c r="G159" s="1" t="s">
        <v>382</v>
      </c>
      <c r="H159" s="7" t="s">
        <v>24</v>
      </c>
      <c r="I159" s="1" t="s">
        <v>1002</v>
      </c>
      <c r="J159" s="1" t="s">
        <v>1003</v>
      </c>
      <c r="K159" s="1" t="s">
        <v>1004</v>
      </c>
      <c r="L159" s="1" t="s">
        <v>59</v>
      </c>
      <c r="M159" s="8" t="s">
        <v>23</v>
      </c>
      <c r="N159" s="8" t="s">
        <v>59</v>
      </c>
      <c r="O159" s="1" t="s">
        <v>59</v>
      </c>
      <c r="P159" s="1" t="s">
        <v>88</v>
      </c>
    </row>
    <row r="160" spans="1:16" ht="57.6" x14ac:dyDescent="0.3">
      <c r="A160" s="1" t="s">
        <v>1005</v>
      </c>
      <c r="B160" s="1" t="s">
        <v>577</v>
      </c>
      <c r="C160" s="1" t="s">
        <v>987</v>
      </c>
      <c r="D160" s="1" t="s">
        <v>1006</v>
      </c>
      <c r="E160" s="1" t="s">
        <v>1007</v>
      </c>
      <c r="F160" s="6" t="s">
        <v>25</v>
      </c>
      <c r="G160" s="1" t="s">
        <v>382</v>
      </c>
      <c r="H160" s="7" t="s">
        <v>24</v>
      </c>
      <c r="I160" s="1" t="s">
        <v>1002</v>
      </c>
      <c r="J160" s="1" t="s">
        <v>1008</v>
      </c>
      <c r="K160" s="1" t="s">
        <v>1009</v>
      </c>
      <c r="L160" s="1" t="s">
        <v>59</v>
      </c>
      <c r="M160" s="8" t="s">
        <v>23</v>
      </c>
      <c r="N160" s="8" t="s">
        <v>59</v>
      </c>
      <c r="O160" s="1" t="s">
        <v>59</v>
      </c>
      <c r="P160" s="1" t="s">
        <v>88</v>
      </c>
    </row>
    <row r="161" spans="1:16" ht="72" x14ac:dyDescent="0.3">
      <c r="A161" s="1" t="s">
        <v>1010</v>
      </c>
      <c r="B161" s="1" t="s">
        <v>577</v>
      </c>
      <c r="C161" s="1" t="s">
        <v>987</v>
      </c>
      <c r="D161" s="1" t="s">
        <v>1011</v>
      </c>
      <c r="E161" s="1" t="s">
        <v>1012</v>
      </c>
      <c r="F161" s="6" t="s">
        <v>31</v>
      </c>
      <c r="G161" s="1" t="s">
        <v>382</v>
      </c>
      <c r="H161" s="7" t="s">
        <v>27</v>
      </c>
      <c r="I161" s="1" t="s">
        <v>1013</v>
      </c>
      <c r="J161" s="1" t="s">
        <v>1014</v>
      </c>
      <c r="K161" s="1" t="s">
        <v>1015</v>
      </c>
      <c r="L161" s="1" t="s">
        <v>59</v>
      </c>
      <c r="M161" s="8" t="s">
        <v>23</v>
      </c>
      <c r="N161" s="8" t="s">
        <v>59</v>
      </c>
      <c r="O161" s="1" t="s">
        <v>59</v>
      </c>
      <c r="P161" s="1" t="s">
        <v>88</v>
      </c>
    </row>
    <row r="162" spans="1:16" ht="43.2" x14ac:dyDescent="0.3">
      <c r="A162" s="1" t="s">
        <v>1016</v>
      </c>
      <c r="B162" s="1" t="s">
        <v>577</v>
      </c>
      <c r="C162" s="1" t="s">
        <v>987</v>
      </c>
      <c r="D162" s="1" t="s">
        <v>1017</v>
      </c>
      <c r="E162" s="1" t="s">
        <v>1018</v>
      </c>
      <c r="F162" s="6" t="s">
        <v>25</v>
      </c>
      <c r="G162" s="1" t="s">
        <v>977</v>
      </c>
      <c r="H162" s="7" t="s">
        <v>27</v>
      </c>
      <c r="I162" s="1" t="s">
        <v>1019</v>
      </c>
      <c r="J162" s="1" t="s">
        <v>1020</v>
      </c>
      <c r="K162" s="1" t="s">
        <v>1021</v>
      </c>
      <c r="L162" s="1" t="s">
        <v>59</v>
      </c>
      <c r="M162" s="8" t="s">
        <v>23</v>
      </c>
      <c r="N162" s="8" t="s">
        <v>59</v>
      </c>
      <c r="O162" s="1" t="s">
        <v>59</v>
      </c>
      <c r="P162" s="1" t="s">
        <v>263</v>
      </c>
    </row>
    <row r="163" spans="1:16" ht="43.2" x14ac:dyDescent="0.3">
      <c r="A163" s="1" t="s">
        <v>1022</v>
      </c>
      <c r="B163" s="1" t="s">
        <v>577</v>
      </c>
      <c r="C163" s="1" t="s">
        <v>987</v>
      </c>
      <c r="D163" s="1" t="s">
        <v>1023</v>
      </c>
      <c r="E163" s="1" t="s">
        <v>1024</v>
      </c>
      <c r="F163" s="6" t="s">
        <v>28</v>
      </c>
      <c r="G163" s="1" t="s">
        <v>180</v>
      </c>
      <c r="H163" s="7" t="s">
        <v>27</v>
      </c>
      <c r="I163" s="1" t="s">
        <v>1025</v>
      </c>
      <c r="J163" s="1" t="s">
        <v>1026</v>
      </c>
      <c r="K163" s="1" t="s">
        <v>1027</v>
      </c>
      <c r="L163" s="1" t="s">
        <v>59</v>
      </c>
      <c r="M163" s="8" t="s">
        <v>23</v>
      </c>
      <c r="N163" s="8" t="s">
        <v>59</v>
      </c>
      <c r="O163" s="1" t="s">
        <v>59</v>
      </c>
      <c r="P163" s="1" t="s">
        <v>88</v>
      </c>
    </row>
    <row r="164" spans="1:16" ht="57.6" x14ac:dyDescent="0.3">
      <c r="A164" s="1" t="s">
        <v>1028</v>
      </c>
      <c r="B164" s="1" t="s">
        <v>577</v>
      </c>
      <c r="C164" s="1" t="s">
        <v>987</v>
      </c>
      <c r="D164" s="1" t="s">
        <v>1029</v>
      </c>
      <c r="E164" s="1" t="s">
        <v>1030</v>
      </c>
      <c r="F164" s="6" t="s">
        <v>25</v>
      </c>
      <c r="G164" s="1" t="s">
        <v>180</v>
      </c>
      <c r="H164" s="7" t="s">
        <v>24</v>
      </c>
      <c r="I164" s="1" t="s">
        <v>1031</v>
      </c>
      <c r="J164" s="1" t="s">
        <v>1032</v>
      </c>
      <c r="K164" s="1" t="s">
        <v>1033</v>
      </c>
      <c r="L164" s="1" t="s">
        <v>59</v>
      </c>
      <c r="M164" s="8" t="s">
        <v>23</v>
      </c>
      <c r="N164" s="8" t="s">
        <v>59</v>
      </c>
      <c r="O164" s="1" t="s">
        <v>59</v>
      </c>
      <c r="P164" s="1" t="s">
        <v>60</v>
      </c>
    </row>
    <row r="165" spans="1:16" ht="43.2" x14ac:dyDescent="0.3">
      <c r="A165" s="1" t="s">
        <v>1034</v>
      </c>
      <c r="B165" s="1" t="s">
        <v>577</v>
      </c>
      <c r="C165" s="1" t="s">
        <v>987</v>
      </c>
      <c r="D165" s="1" t="s">
        <v>1035</v>
      </c>
      <c r="E165" s="1" t="s">
        <v>1036</v>
      </c>
      <c r="F165" s="6" t="s">
        <v>28</v>
      </c>
      <c r="G165" s="1" t="s">
        <v>180</v>
      </c>
      <c r="H165" s="7" t="s">
        <v>27</v>
      </c>
      <c r="I165" s="1" t="s">
        <v>1037</v>
      </c>
      <c r="J165" s="1" t="s">
        <v>1038</v>
      </c>
      <c r="K165" s="1" t="s">
        <v>1039</v>
      </c>
      <c r="L165" s="1" t="s">
        <v>59</v>
      </c>
      <c r="M165" s="8" t="s">
        <v>23</v>
      </c>
      <c r="N165" s="8" t="s">
        <v>59</v>
      </c>
      <c r="O165" s="1" t="s">
        <v>59</v>
      </c>
      <c r="P165" s="1" t="s">
        <v>88</v>
      </c>
    </row>
    <row r="166" spans="1:16" ht="43.2" x14ac:dyDescent="0.3">
      <c r="A166" s="1" t="s">
        <v>1040</v>
      </c>
      <c r="B166" s="1" t="s">
        <v>577</v>
      </c>
      <c r="C166" s="1" t="s">
        <v>987</v>
      </c>
      <c r="D166" s="1" t="s">
        <v>1041</v>
      </c>
      <c r="E166" s="1" t="s">
        <v>1042</v>
      </c>
      <c r="F166" s="6" t="s">
        <v>28</v>
      </c>
      <c r="G166" s="1" t="s">
        <v>180</v>
      </c>
      <c r="H166" s="7" t="s">
        <v>24</v>
      </c>
      <c r="I166" s="1" t="s">
        <v>1043</v>
      </c>
      <c r="J166" s="1" t="s">
        <v>1044</v>
      </c>
      <c r="K166" s="1" t="s">
        <v>1045</v>
      </c>
      <c r="L166" s="1" t="s">
        <v>59</v>
      </c>
      <c r="M166" s="8" t="s">
        <v>23</v>
      </c>
      <c r="N166" s="8" t="s">
        <v>59</v>
      </c>
      <c r="O166" s="1" t="s">
        <v>59</v>
      </c>
      <c r="P166" s="1" t="s">
        <v>81</v>
      </c>
    </row>
    <row r="167" spans="1:16" ht="43.2" x14ac:dyDescent="0.3">
      <c r="A167" s="1" t="s">
        <v>1046</v>
      </c>
      <c r="B167" s="1" t="s">
        <v>577</v>
      </c>
      <c r="C167" s="1" t="s">
        <v>987</v>
      </c>
      <c r="D167" s="1" t="s">
        <v>450</v>
      </c>
      <c r="E167" s="1" t="s">
        <v>1047</v>
      </c>
      <c r="F167" s="6" t="s">
        <v>30</v>
      </c>
      <c r="G167" s="1" t="s">
        <v>186</v>
      </c>
      <c r="H167" s="7" t="s">
        <v>27</v>
      </c>
      <c r="I167" s="1" t="s">
        <v>1048</v>
      </c>
      <c r="J167" s="1" t="s">
        <v>1049</v>
      </c>
      <c r="K167" s="1" t="s">
        <v>1050</v>
      </c>
      <c r="L167" s="1" t="s">
        <v>59</v>
      </c>
      <c r="M167" s="8" t="s">
        <v>23</v>
      </c>
      <c r="N167" s="8" t="s">
        <v>59</v>
      </c>
      <c r="O167" s="1" t="s">
        <v>59</v>
      </c>
      <c r="P167" s="1" t="s">
        <v>101</v>
      </c>
    </row>
    <row r="168" spans="1:16" ht="43.2" x14ac:dyDescent="0.3">
      <c r="A168" s="1" t="s">
        <v>1051</v>
      </c>
      <c r="B168" s="1" t="s">
        <v>577</v>
      </c>
      <c r="C168" s="1" t="s">
        <v>987</v>
      </c>
      <c r="D168" s="1" t="s">
        <v>387</v>
      </c>
      <c r="E168" s="1" t="s">
        <v>1052</v>
      </c>
      <c r="F168" s="6" t="s">
        <v>30</v>
      </c>
      <c r="G168" s="1" t="s">
        <v>173</v>
      </c>
      <c r="H168" s="7" t="s">
        <v>24</v>
      </c>
      <c r="I168" s="1" t="s">
        <v>1053</v>
      </c>
      <c r="J168" s="1" t="s">
        <v>1054</v>
      </c>
      <c r="K168" s="1" t="s">
        <v>1055</v>
      </c>
      <c r="L168" s="1" t="s">
        <v>59</v>
      </c>
      <c r="M168" s="8" t="s">
        <v>23</v>
      </c>
      <c r="N168" s="8" t="s">
        <v>59</v>
      </c>
      <c r="O168" s="1" t="s">
        <v>59</v>
      </c>
      <c r="P168" s="1" t="s">
        <v>101</v>
      </c>
    </row>
    <row r="169" spans="1:16" ht="57.6" x14ac:dyDescent="0.3">
      <c r="A169" s="1" t="s">
        <v>1056</v>
      </c>
      <c r="B169" s="1" t="s">
        <v>577</v>
      </c>
      <c r="C169" s="1" t="s">
        <v>1057</v>
      </c>
      <c r="D169" s="1" t="s">
        <v>1058</v>
      </c>
      <c r="E169" s="1" t="s">
        <v>1059</v>
      </c>
      <c r="F169" s="6" t="s">
        <v>25</v>
      </c>
      <c r="G169" s="1" t="s">
        <v>180</v>
      </c>
      <c r="H169" s="7" t="s">
        <v>24</v>
      </c>
      <c r="I169" s="1" t="s">
        <v>1060</v>
      </c>
      <c r="J169" s="1" t="s">
        <v>1061</v>
      </c>
      <c r="K169" s="1" t="s">
        <v>1062</v>
      </c>
      <c r="L169" s="1" t="s">
        <v>59</v>
      </c>
      <c r="M169" s="8" t="s">
        <v>23</v>
      </c>
      <c r="N169" s="8" t="s">
        <v>59</v>
      </c>
      <c r="O169" s="1" t="s">
        <v>59</v>
      </c>
      <c r="P169" s="1" t="s">
        <v>88</v>
      </c>
    </row>
    <row r="170" spans="1:16" ht="43.2" x14ac:dyDescent="0.3">
      <c r="A170" s="1" t="s">
        <v>1063</v>
      </c>
      <c r="B170" s="1" t="s">
        <v>577</v>
      </c>
      <c r="C170" s="1" t="s">
        <v>1057</v>
      </c>
      <c r="D170" s="1" t="s">
        <v>1064</v>
      </c>
      <c r="E170" s="1" t="s">
        <v>1065</v>
      </c>
      <c r="F170" s="6" t="s">
        <v>25</v>
      </c>
      <c r="G170" s="1" t="s">
        <v>180</v>
      </c>
      <c r="H170" s="7" t="s">
        <v>27</v>
      </c>
      <c r="I170" s="1" t="s">
        <v>1066</v>
      </c>
      <c r="J170" s="1" t="s">
        <v>1067</v>
      </c>
      <c r="K170" s="1" t="s">
        <v>1068</v>
      </c>
      <c r="L170" s="1" t="s">
        <v>59</v>
      </c>
      <c r="M170" s="8" t="s">
        <v>23</v>
      </c>
      <c r="N170" s="8" t="s">
        <v>59</v>
      </c>
      <c r="O170" s="1" t="s">
        <v>59</v>
      </c>
      <c r="P170" s="1" t="s">
        <v>88</v>
      </c>
    </row>
    <row r="171" spans="1:16" ht="57.6" x14ac:dyDescent="0.3">
      <c r="A171" s="1" t="s">
        <v>1069</v>
      </c>
      <c r="B171" s="1" t="s">
        <v>577</v>
      </c>
      <c r="C171" s="1" t="s">
        <v>1057</v>
      </c>
      <c r="D171" s="1" t="s">
        <v>1070</v>
      </c>
      <c r="E171" s="1" t="s">
        <v>1071</v>
      </c>
      <c r="F171" s="6" t="s">
        <v>25</v>
      </c>
      <c r="G171" s="1" t="s">
        <v>180</v>
      </c>
      <c r="H171" s="7" t="s">
        <v>24</v>
      </c>
      <c r="I171" s="1" t="s">
        <v>1066</v>
      </c>
      <c r="J171" s="1" t="s">
        <v>1072</v>
      </c>
      <c r="K171" s="1" t="s">
        <v>1073</v>
      </c>
      <c r="L171" s="1" t="s">
        <v>59</v>
      </c>
      <c r="M171" s="8" t="s">
        <v>23</v>
      </c>
      <c r="N171" s="8" t="s">
        <v>59</v>
      </c>
      <c r="O171" s="1" t="s">
        <v>59</v>
      </c>
      <c r="P171" s="1" t="s">
        <v>88</v>
      </c>
    </row>
    <row r="172" spans="1:16" ht="57.6" x14ac:dyDescent="0.3">
      <c r="A172" s="1" t="s">
        <v>1074</v>
      </c>
      <c r="B172" s="1" t="s">
        <v>577</v>
      </c>
      <c r="C172" s="1" t="s">
        <v>1057</v>
      </c>
      <c r="D172" s="1" t="s">
        <v>1075</v>
      </c>
      <c r="E172" s="1" t="s">
        <v>1076</v>
      </c>
      <c r="F172" s="6" t="s">
        <v>25</v>
      </c>
      <c r="G172" s="1" t="s">
        <v>180</v>
      </c>
      <c r="H172" s="7" t="s">
        <v>24</v>
      </c>
      <c r="I172" s="1" t="s">
        <v>1066</v>
      </c>
      <c r="J172" s="1" t="s">
        <v>1077</v>
      </c>
      <c r="K172" s="1" t="s">
        <v>1078</v>
      </c>
      <c r="L172" s="1" t="s">
        <v>59</v>
      </c>
      <c r="M172" s="8" t="s">
        <v>23</v>
      </c>
      <c r="N172" s="8" t="s">
        <v>59</v>
      </c>
      <c r="O172" s="1" t="s">
        <v>59</v>
      </c>
      <c r="P172" s="1" t="s">
        <v>88</v>
      </c>
    </row>
    <row r="173" spans="1:16" ht="57.6" x14ac:dyDescent="0.3">
      <c r="A173" s="1" t="s">
        <v>1079</v>
      </c>
      <c r="B173" s="1" t="s">
        <v>577</v>
      </c>
      <c r="C173" s="1" t="s">
        <v>1057</v>
      </c>
      <c r="D173" s="1" t="s">
        <v>1080</v>
      </c>
      <c r="E173" s="1" t="s">
        <v>1081</v>
      </c>
      <c r="F173" s="6" t="s">
        <v>31</v>
      </c>
      <c r="G173" s="1" t="s">
        <v>180</v>
      </c>
      <c r="H173" s="7" t="s">
        <v>27</v>
      </c>
      <c r="I173" s="1" t="s">
        <v>1082</v>
      </c>
      <c r="J173" s="1" t="s">
        <v>1083</v>
      </c>
      <c r="K173" s="1" t="s">
        <v>1084</v>
      </c>
      <c r="L173" s="1" t="s">
        <v>59</v>
      </c>
      <c r="M173" s="8" t="s">
        <v>23</v>
      </c>
      <c r="N173" s="8" t="s">
        <v>59</v>
      </c>
      <c r="O173" s="1" t="s">
        <v>59</v>
      </c>
      <c r="P173" s="1" t="s">
        <v>88</v>
      </c>
    </row>
    <row r="174" spans="1:16" ht="43.2" x14ac:dyDescent="0.3">
      <c r="A174" s="1" t="s">
        <v>1085</v>
      </c>
      <c r="B174" s="1" t="s">
        <v>577</v>
      </c>
      <c r="C174" s="1" t="s">
        <v>1057</v>
      </c>
      <c r="D174" s="1" t="s">
        <v>1086</v>
      </c>
      <c r="E174" s="1" t="s">
        <v>1087</v>
      </c>
      <c r="F174" s="6" t="s">
        <v>25</v>
      </c>
      <c r="G174" s="1" t="s">
        <v>977</v>
      </c>
      <c r="H174" s="7" t="s">
        <v>27</v>
      </c>
      <c r="I174" s="1" t="s">
        <v>1088</v>
      </c>
      <c r="J174" s="1" t="s">
        <v>1089</v>
      </c>
      <c r="K174" s="1" t="s">
        <v>1090</v>
      </c>
      <c r="L174" s="1" t="s">
        <v>59</v>
      </c>
      <c r="M174" s="8" t="s">
        <v>23</v>
      </c>
      <c r="N174" s="8" t="s">
        <v>59</v>
      </c>
      <c r="O174" s="1" t="s">
        <v>59</v>
      </c>
      <c r="P174" s="1" t="s">
        <v>263</v>
      </c>
    </row>
    <row r="175" spans="1:16" ht="57.6" x14ac:dyDescent="0.3">
      <c r="A175" s="1" t="s">
        <v>1091</v>
      </c>
      <c r="B175" s="1" t="s">
        <v>577</v>
      </c>
      <c r="C175" s="1" t="s">
        <v>1057</v>
      </c>
      <c r="D175" s="1" t="s">
        <v>1092</v>
      </c>
      <c r="E175" s="1" t="s">
        <v>1093</v>
      </c>
      <c r="F175" s="6" t="s">
        <v>25</v>
      </c>
      <c r="G175" s="1" t="s">
        <v>180</v>
      </c>
      <c r="H175" s="7" t="s">
        <v>24</v>
      </c>
      <c r="I175" s="1" t="s">
        <v>1094</v>
      </c>
      <c r="J175" s="1" t="s">
        <v>1095</v>
      </c>
      <c r="K175" s="1" t="s">
        <v>1096</v>
      </c>
      <c r="L175" s="1" t="s">
        <v>59</v>
      </c>
      <c r="M175" s="8" t="s">
        <v>23</v>
      </c>
      <c r="N175" s="8" t="s">
        <v>59</v>
      </c>
      <c r="O175" s="1" t="s">
        <v>59</v>
      </c>
      <c r="P175" s="1" t="s">
        <v>60</v>
      </c>
    </row>
    <row r="176" spans="1:16" ht="43.2" x14ac:dyDescent="0.3">
      <c r="A176" s="1" t="s">
        <v>1097</v>
      </c>
      <c r="B176" s="1" t="s">
        <v>577</v>
      </c>
      <c r="C176" s="1" t="s">
        <v>1057</v>
      </c>
      <c r="D176" s="1" t="s">
        <v>1098</v>
      </c>
      <c r="E176" s="1" t="s">
        <v>1099</v>
      </c>
      <c r="F176" s="6" t="s">
        <v>28</v>
      </c>
      <c r="G176" s="1" t="s">
        <v>180</v>
      </c>
      <c r="H176" s="7" t="s">
        <v>27</v>
      </c>
      <c r="I176" s="1" t="s">
        <v>1100</v>
      </c>
      <c r="J176" s="1" t="s">
        <v>1101</v>
      </c>
      <c r="K176" s="1" t="s">
        <v>1102</v>
      </c>
      <c r="L176" s="1" t="s">
        <v>59</v>
      </c>
      <c r="M176" s="8" t="s">
        <v>23</v>
      </c>
      <c r="N176" s="8" t="s">
        <v>59</v>
      </c>
      <c r="O176" s="1" t="s">
        <v>59</v>
      </c>
      <c r="P176" s="1" t="s">
        <v>88</v>
      </c>
    </row>
    <row r="177" spans="1:16" ht="57.6" x14ac:dyDescent="0.3">
      <c r="A177" s="1" t="s">
        <v>1103</v>
      </c>
      <c r="B177" s="1" t="s">
        <v>577</v>
      </c>
      <c r="C177" s="1" t="s">
        <v>1057</v>
      </c>
      <c r="D177" s="1" t="s">
        <v>1104</v>
      </c>
      <c r="E177" s="1" t="s">
        <v>1105</v>
      </c>
      <c r="F177" s="6" t="s">
        <v>25</v>
      </c>
      <c r="G177" s="1" t="s">
        <v>180</v>
      </c>
      <c r="H177" s="7" t="s">
        <v>24</v>
      </c>
      <c r="I177" s="1" t="s">
        <v>1106</v>
      </c>
      <c r="J177" s="1" t="s">
        <v>1107</v>
      </c>
      <c r="K177" s="1" t="s">
        <v>1108</v>
      </c>
      <c r="L177" s="1" t="s">
        <v>59</v>
      </c>
      <c r="M177" s="8" t="s">
        <v>23</v>
      </c>
      <c r="N177" s="8" t="s">
        <v>59</v>
      </c>
      <c r="O177" s="1" t="s">
        <v>59</v>
      </c>
      <c r="P177" s="1" t="s">
        <v>81</v>
      </c>
    </row>
    <row r="178" spans="1:16" ht="43.2" x14ac:dyDescent="0.3">
      <c r="A178" s="1" t="s">
        <v>1109</v>
      </c>
      <c r="B178" s="1" t="s">
        <v>577</v>
      </c>
      <c r="C178" s="1" t="s">
        <v>1057</v>
      </c>
      <c r="D178" s="1" t="s">
        <v>1041</v>
      </c>
      <c r="E178" s="1" t="s">
        <v>1110</v>
      </c>
      <c r="F178" s="6" t="s">
        <v>28</v>
      </c>
      <c r="G178" s="1" t="s">
        <v>180</v>
      </c>
      <c r="H178" s="7" t="s">
        <v>27</v>
      </c>
      <c r="I178" s="1" t="s">
        <v>1111</v>
      </c>
      <c r="J178" s="1" t="s">
        <v>1112</v>
      </c>
      <c r="K178" s="1" t="s">
        <v>1113</v>
      </c>
      <c r="L178" s="1" t="s">
        <v>59</v>
      </c>
      <c r="M178" s="8" t="s">
        <v>23</v>
      </c>
      <c r="N178" s="8" t="s">
        <v>59</v>
      </c>
      <c r="O178" s="1" t="s">
        <v>59</v>
      </c>
      <c r="P178" s="1" t="s">
        <v>88</v>
      </c>
    </row>
    <row r="179" spans="1:16" ht="43.2" x14ac:dyDescent="0.3">
      <c r="A179" s="1" t="s">
        <v>1114</v>
      </c>
      <c r="B179" s="1" t="s">
        <v>577</v>
      </c>
      <c r="C179" s="1" t="s">
        <v>1057</v>
      </c>
      <c r="D179" s="1" t="s">
        <v>450</v>
      </c>
      <c r="E179" s="1" t="s">
        <v>1115</v>
      </c>
      <c r="F179" s="6" t="s">
        <v>30</v>
      </c>
      <c r="G179" s="1" t="s">
        <v>186</v>
      </c>
      <c r="H179" s="7" t="s">
        <v>27</v>
      </c>
      <c r="I179" s="1" t="s">
        <v>1116</v>
      </c>
      <c r="J179" s="1" t="s">
        <v>1117</v>
      </c>
      <c r="K179" s="1" t="s">
        <v>1118</v>
      </c>
      <c r="L179" s="1" t="s">
        <v>59</v>
      </c>
      <c r="M179" s="8" t="s">
        <v>23</v>
      </c>
      <c r="N179" s="8" t="s">
        <v>59</v>
      </c>
      <c r="O179" s="1" t="s">
        <v>59</v>
      </c>
      <c r="P179" s="1" t="s">
        <v>101</v>
      </c>
    </row>
    <row r="180" spans="1:16" ht="43.2" x14ac:dyDescent="0.3">
      <c r="A180" s="1" t="s">
        <v>1119</v>
      </c>
      <c r="B180" s="1" t="s">
        <v>577</v>
      </c>
      <c r="C180" s="1" t="s">
        <v>1057</v>
      </c>
      <c r="D180" s="1" t="s">
        <v>387</v>
      </c>
      <c r="E180" s="1" t="s">
        <v>1120</v>
      </c>
      <c r="F180" s="6" t="s">
        <v>30</v>
      </c>
      <c r="G180" s="1" t="s">
        <v>173</v>
      </c>
      <c r="H180" s="7" t="s">
        <v>24</v>
      </c>
      <c r="I180" s="1" t="s">
        <v>1121</v>
      </c>
      <c r="J180" s="1" t="s">
        <v>1122</v>
      </c>
      <c r="K180" s="1" t="s">
        <v>1123</v>
      </c>
      <c r="L180" s="1" t="s">
        <v>59</v>
      </c>
      <c r="M180" s="8" t="s">
        <v>23</v>
      </c>
      <c r="N180" s="8" t="s">
        <v>59</v>
      </c>
      <c r="O180" s="1" t="s">
        <v>59</v>
      </c>
      <c r="P180" s="1" t="s">
        <v>101</v>
      </c>
    </row>
    <row r="181" spans="1:16" ht="57.6" x14ac:dyDescent="0.3">
      <c r="A181" s="1" t="s">
        <v>1124</v>
      </c>
      <c r="B181" s="1" t="s">
        <v>577</v>
      </c>
      <c r="C181" s="1" t="s">
        <v>1125</v>
      </c>
      <c r="D181" s="1" t="s">
        <v>1126</v>
      </c>
      <c r="E181" s="1" t="s">
        <v>1127</v>
      </c>
      <c r="F181" s="6" t="s">
        <v>25</v>
      </c>
      <c r="G181" s="1" t="s">
        <v>1128</v>
      </c>
      <c r="H181" s="7" t="s">
        <v>24</v>
      </c>
      <c r="I181" s="1" t="s">
        <v>1129</v>
      </c>
      <c r="J181" s="1" t="s">
        <v>1130</v>
      </c>
      <c r="K181" s="1" t="s">
        <v>1131</v>
      </c>
      <c r="L181" s="1" t="s">
        <v>59</v>
      </c>
      <c r="M181" s="8" t="s">
        <v>23</v>
      </c>
      <c r="N181" s="8" t="s">
        <v>59</v>
      </c>
      <c r="O181" s="1" t="s">
        <v>59</v>
      </c>
      <c r="P181" s="1" t="s">
        <v>60</v>
      </c>
    </row>
    <row r="182" spans="1:16" ht="43.2" x14ac:dyDescent="0.3">
      <c r="A182" s="1" t="s">
        <v>1132</v>
      </c>
      <c r="B182" s="1" t="s">
        <v>577</v>
      </c>
      <c r="C182" s="1" t="s">
        <v>1125</v>
      </c>
      <c r="D182" s="1" t="s">
        <v>1133</v>
      </c>
      <c r="E182" s="1" t="s">
        <v>1134</v>
      </c>
      <c r="F182" s="6" t="s">
        <v>25</v>
      </c>
      <c r="G182" s="1" t="s">
        <v>977</v>
      </c>
      <c r="H182" s="7" t="s">
        <v>27</v>
      </c>
      <c r="I182" s="1" t="s">
        <v>1135</v>
      </c>
      <c r="J182" s="1" t="s">
        <v>1136</v>
      </c>
      <c r="K182" s="1" t="s">
        <v>1137</v>
      </c>
      <c r="L182" s="1" t="s">
        <v>59</v>
      </c>
      <c r="M182" s="8" t="s">
        <v>23</v>
      </c>
      <c r="N182" s="8" t="s">
        <v>59</v>
      </c>
      <c r="O182" s="1" t="s">
        <v>59</v>
      </c>
      <c r="P182" s="1" t="s">
        <v>88</v>
      </c>
    </row>
    <row r="183" spans="1:16" ht="57.6" x14ac:dyDescent="0.3">
      <c r="A183" s="1" t="s">
        <v>1138</v>
      </c>
      <c r="B183" s="1" t="s">
        <v>577</v>
      </c>
      <c r="C183" s="1" t="s">
        <v>1125</v>
      </c>
      <c r="D183" s="1" t="s">
        <v>1139</v>
      </c>
      <c r="E183" s="1" t="s">
        <v>1140</v>
      </c>
      <c r="F183" s="6" t="s">
        <v>25</v>
      </c>
      <c r="G183" s="1" t="s">
        <v>1141</v>
      </c>
      <c r="H183" s="7" t="s">
        <v>24</v>
      </c>
      <c r="I183" s="1" t="s">
        <v>1142</v>
      </c>
      <c r="J183" s="1" t="s">
        <v>1143</v>
      </c>
      <c r="K183" s="1" t="s">
        <v>1144</v>
      </c>
      <c r="L183" s="1" t="s">
        <v>59</v>
      </c>
      <c r="M183" s="8" t="s">
        <v>23</v>
      </c>
      <c r="N183" s="8" t="s">
        <v>59</v>
      </c>
      <c r="O183" s="1" t="s">
        <v>59</v>
      </c>
      <c r="P183" s="1" t="s">
        <v>88</v>
      </c>
    </row>
    <row r="184" spans="1:16" ht="43.2" x14ac:dyDescent="0.3">
      <c r="A184" s="1" t="s">
        <v>1145</v>
      </c>
      <c r="B184" s="1" t="s">
        <v>577</v>
      </c>
      <c r="C184" s="1" t="s">
        <v>1125</v>
      </c>
      <c r="D184" s="1" t="s">
        <v>1146</v>
      </c>
      <c r="E184" s="1" t="s">
        <v>1147</v>
      </c>
      <c r="F184" s="6" t="s">
        <v>30</v>
      </c>
      <c r="G184" s="1" t="s">
        <v>1141</v>
      </c>
      <c r="H184" s="7" t="s">
        <v>27</v>
      </c>
      <c r="I184" s="1" t="s">
        <v>1148</v>
      </c>
      <c r="J184" s="1" t="s">
        <v>1149</v>
      </c>
      <c r="K184" s="1" t="s">
        <v>1150</v>
      </c>
      <c r="L184" s="1" t="s">
        <v>59</v>
      </c>
      <c r="M184" s="8" t="s">
        <v>23</v>
      </c>
      <c r="N184" s="8" t="s">
        <v>59</v>
      </c>
      <c r="O184" s="1" t="s">
        <v>59</v>
      </c>
      <c r="P184" s="1" t="s">
        <v>60</v>
      </c>
    </row>
    <row r="185" spans="1:16" ht="57.6" x14ac:dyDescent="0.3">
      <c r="A185" s="1" t="s">
        <v>1151</v>
      </c>
      <c r="B185" s="1" t="s">
        <v>577</v>
      </c>
      <c r="C185" s="1" t="s">
        <v>1125</v>
      </c>
      <c r="D185" s="1" t="s">
        <v>1152</v>
      </c>
      <c r="E185" s="1" t="s">
        <v>1153</v>
      </c>
      <c r="F185" s="6" t="s">
        <v>25</v>
      </c>
      <c r="G185" s="1" t="s">
        <v>977</v>
      </c>
      <c r="H185" s="7" t="s">
        <v>24</v>
      </c>
      <c r="I185" s="1" t="s">
        <v>1154</v>
      </c>
      <c r="J185" s="1" t="s">
        <v>1155</v>
      </c>
      <c r="K185" s="1" t="s">
        <v>1156</v>
      </c>
      <c r="L185" s="1" t="s">
        <v>59</v>
      </c>
      <c r="M185" s="8" t="s">
        <v>23</v>
      </c>
      <c r="N185" s="8" t="s">
        <v>59</v>
      </c>
      <c r="O185" s="1" t="s">
        <v>59</v>
      </c>
      <c r="P185" s="1" t="s">
        <v>81</v>
      </c>
    </row>
    <row r="186" spans="1:16" ht="57.6" x14ac:dyDescent="0.3">
      <c r="A186" s="1" t="s">
        <v>1157</v>
      </c>
      <c r="B186" s="1" t="s">
        <v>577</v>
      </c>
      <c r="C186" s="1" t="s">
        <v>1125</v>
      </c>
      <c r="D186" s="1" t="s">
        <v>1158</v>
      </c>
      <c r="E186" s="1" t="s">
        <v>1159</v>
      </c>
      <c r="F186" s="6" t="s">
        <v>25</v>
      </c>
      <c r="G186" s="1" t="s">
        <v>977</v>
      </c>
      <c r="H186" s="7" t="s">
        <v>24</v>
      </c>
      <c r="I186" s="1" t="s">
        <v>1160</v>
      </c>
      <c r="J186" s="1" t="s">
        <v>1161</v>
      </c>
      <c r="K186" s="1" t="s">
        <v>1162</v>
      </c>
      <c r="L186" s="1" t="s">
        <v>59</v>
      </c>
      <c r="M186" s="8" t="s">
        <v>23</v>
      </c>
      <c r="N186" s="8" t="s">
        <v>59</v>
      </c>
      <c r="O186" s="1" t="s">
        <v>59</v>
      </c>
      <c r="P186" s="1" t="s">
        <v>60</v>
      </c>
    </row>
    <row r="187" spans="1:16" ht="57.6" x14ac:dyDescent="0.3">
      <c r="A187" s="1" t="s">
        <v>1163</v>
      </c>
      <c r="B187" s="1" t="s">
        <v>577</v>
      </c>
      <c r="C187" s="1" t="s">
        <v>1125</v>
      </c>
      <c r="D187" s="1" t="s">
        <v>1164</v>
      </c>
      <c r="E187" s="1" t="s">
        <v>1165</v>
      </c>
      <c r="F187" s="6" t="s">
        <v>25</v>
      </c>
      <c r="G187" s="1" t="s">
        <v>977</v>
      </c>
      <c r="H187" s="7" t="s">
        <v>27</v>
      </c>
      <c r="I187" s="1" t="s">
        <v>1135</v>
      </c>
      <c r="J187" s="1" t="s">
        <v>1166</v>
      </c>
      <c r="K187" s="1" t="s">
        <v>1167</v>
      </c>
      <c r="L187" s="1" t="s">
        <v>59</v>
      </c>
      <c r="M187" s="8" t="s">
        <v>23</v>
      </c>
      <c r="N187" s="8" t="s">
        <v>59</v>
      </c>
      <c r="O187" s="1" t="s">
        <v>59</v>
      </c>
      <c r="P187" s="1" t="s">
        <v>263</v>
      </c>
    </row>
    <row r="188" spans="1:16" ht="57.6" x14ac:dyDescent="0.3">
      <c r="A188" s="1" t="s">
        <v>1168</v>
      </c>
      <c r="B188" s="1" t="s">
        <v>577</v>
      </c>
      <c r="C188" s="1" t="s">
        <v>1125</v>
      </c>
      <c r="D188" s="1" t="s">
        <v>1169</v>
      </c>
      <c r="E188" s="1" t="s">
        <v>1170</v>
      </c>
      <c r="F188" s="6" t="s">
        <v>31</v>
      </c>
      <c r="G188" s="1" t="s">
        <v>977</v>
      </c>
      <c r="H188" s="7" t="s">
        <v>24</v>
      </c>
      <c r="I188" s="1" t="s">
        <v>1171</v>
      </c>
      <c r="J188" s="1" t="s">
        <v>1172</v>
      </c>
      <c r="K188" s="1" t="s">
        <v>1173</v>
      </c>
      <c r="L188" s="1" t="s">
        <v>59</v>
      </c>
      <c r="M188" s="8" t="s">
        <v>23</v>
      </c>
      <c r="N188" s="8" t="s">
        <v>59</v>
      </c>
      <c r="O188" s="1" t="s">
        <v>59</v>
      </c>
      <c r="P188" s="1" t="s">
        <v>81</v>
      </c>
    </row>
    <row r="189" spans="1:16" ht="43.2" x14ac:dyDescent="0.3">
      <c r="A189" s="1" t="s">
        <v>1174</v>
      </c>
      <c r="B189" s="1" t="s">
        <v>577</v>
      </c>
      <c r="C189" s="1" t="s">
        <v>1125</v>
      </c>
      <c r="D189" s="1" t="s">
        <v>387</v>
      </c>
      <c r="E189" s="1" t="s">
        <v>1175</v>
      </c>
      <c r="F189" s="6" t="s">
        <v>30</v>
      </c>
      <c r="G189" s="1" t="s">
        <v>173</v>
      </c>
      <c r="H189" s="7" t="s">
        <v>24</v>
      </c>
      <c r="I189" s="1" t="s">
        <v>1176</v>
      </c>
      <c r="J189" s="1" t="s">
        <v>1177</v>
      </c>
      <c r="K189" s="1" t="s">
        <v>1178</v>
      </c>
      <c r="L189" s="1" t="s">
        <v>59</v>
      </c>
      <c r="M189" s="8" t="s">
        <v>23</v>
      </c>
      <c r="N189" s="8" t="s">
        <v>59</v>
      </c>
      <c r="O189" s="1" t="s">
        <v>59</v>
      </c>
      <c r="P189" s="1" t="s">
        <v>101</v>
      </c>
    </row>
    <row r="190" spans="1:16" ht="57.6" x14ac:dyDescent="0.3">
      <c r="A190" s="1" t="s">
        <v>1179</v>
      </c>
      <c r="B190" s="1" t="s">
        <v>1180</v>
      </c>
      <c r="C190" s="1" t="s">
        <v>1181</v>
      </c>
      <c r="D190" s="1" t="s">
        <v>1182</v>
      </c>
      <c r="E190" s="1" t="s">
        <v>1183</v>
      </c>
      <c r="F190" s="6" t="s">
        <v>25</v>
      </c>
      <c r="G190" s="1" t="s">
        <v>1184</v>
      </c>
      <c r="H190" s="7" t="s">
        <v>24</v>
      </c>
      <c r="I190" s="1" t="s">
        <v>1185</v>
      </c>
      <c r="J190" s="1" t="s">
        <v>1186</v>
      </c>
      <c r="K190" s="1" t="s">
        <v>1187</v>
      </c>
      <c r="L190" s="1" t="s">
        <v>59</v>
      </c>
      <c r="M190" s="8" t="s">
        <v>23</v>
      </c>
      <c r="N190" s="8" t="s">
        <v>59</v>
      </c>
      <c r="O190" s="1" t="s">
        <v>59</v>
      </c>
      <c r="P190" s="1" t="s">
        <v>60</v>
      </c>
    </row>
    <row r="191" spans="1:16" ht="43.2" x14ac:dyDescent="0.3">
      <c r="A191" s="1" t="s">
        <v>1188</v>
      </c>
      <c r="B191" s="1" t="s">
        <v>1180</v>
      </c>
      <c r="C191" s="1" t="s">
        <v>1181</v>
      </c>
      <c r="D191" s="1" t="s">
        <v>1189</v>
      </c>
      <c r="E191" s="1" t="s">
        <v>1190</v>
      </c>
      <c r="F191" s="6" t="s">
        <v>25</v>
      </c>
      <c r="G191" s="1" t="s">
        <v>1184</v>
      </c>
      <c r="H191" s="7" t="s">
        <v>24</v>
      </c>
      <c r="I191" s="1" t="s">
        <v>1191</v>
      </c>
      <c r="J191" s="1" t="s">
        <v>1192</v>
      </c>
      <c r="K191" s="1" t="s">
        <v>1193</v>
      </c>
      <c r="L191" s="1" t="s">
        <v>59</v>
      </c>
      <c r="M191" s="8" t="s">
        <v>23</v>
      </c>
      <c r="N191" s="8" t="s">
        <v>59</v>
      </c>
      <c r="O191" s="1" t="s">
        <v>59</v>
      </c>
      <c r="P191" s="1" t="s">
        <v>60</v>
      </c>
    </row>
    <row r="192" spans="1:16" ht="57.6" x14ac:dyDescent="0.3">
      <c r="A192" s="1" t="s">
        <v>1194</v>
      </c>
      <c r="B192" s="1" t="s">
        <v>1180</v>
      </c>
      <c r="C192" s="1" t="s">
        <v>1181</v>
      </c>
      <c r="D192" s="1" t="s">
        <v>1195</v>
      </c>
      <c r="E192" s="1" t="s">
        <v>1196</v>
      </c>
      <c r="F192" s="6" t="s">
        <v>30</v>
      </c>
      <c r="G192" s="1" t="s">
        <v>416</v>
      </c>
      <c r="H192" s="7" t="s">
        <v>24</v>
      </c>
      <c r="I192" s="1" t="s">
        <v>1197</v>
      </c>
      <c r="J192" s="1" t="s">
        <v>1198</v>
      </c>
      <c r="K192" s="1" t="s">
        <v>1199</v>
      </c>
      <c r="L192" s="1" t="s">
        <v>59</v>
      </c>
      <c r="M192" s="8" t="s">
        <v>23</v>
      </c>
      <c r="N192" s="8" t="s">
        <v>59</v>
      </c>
      <c r="O192" s="1" t="s">
        <v>59</v>
      </c>
      <c r="P192" s="1" t="s">
        <v>60</v>
      </c>
    </row>
    <row r="193" spans="1:16" ht="57.6" x14ac:dyDescent="0.3">
      <c r="A193" s="1" t="s">
        <v>1200</v>
      </c>
      <c r="B193" s="1" t="s">
        <v>1180</v>
      </c>
      <c r="C193" s="1" t="s">
        <v>1181</v>
      </c>
      <c r="D193" s="1" t="s">
        <v>1201</v>
      </c>
      <c r="E193" s="1" t="s">
        <v>1202</v>
      </c>
      <c r="F193" s="6" t="s">
        <v>25</v>
      </c>
      <c r="G193" s="1" t="s">
        <v>1184</v>
      </c>
      <c r="H193" s="7" t="s">
        <v>27</v>
      </c>
      <c r="I193" s="1" t="s">
        <v>1185</v>
      </c>
      <c r="J193" s="1" t="s">
        <v>1203</v>
      </c>
      <c r="K193" s="1" t="s">
        <v>1204</v>
      </c>
      <c r="L193" s="1" t="s">
        <v>59</v>
      </c>
      <c r="M193" s="8" t="s">
        <v>23</v>
      </c>
      <c r="N193" s="8" t="s">
        <v>59</v>
      </c>
      <c r="O193" s="1" t="s">
        <v>59</v>
      </c>
      <c r="P193" s="1" t="s">
        <v>60</v>
      </c>
    </row>
    <row r="194" spans="1:16" ht="43.2" x14ac:dyDescent="0.3">
      <c r="A194" s="1" t="s">
        <v>1205</v>
      </c>
      <c r="B194" s="1" t="s">
        <v>1180</v>
      </c>
      <c r="C194" s="1" t="s">
        <v>1181</v>
      </c>
      <c r="D194" s="1" t="s">
        <v>1206</v>
      </c>
      <c r="E194" s="1" t="s">
        <v>1207</v>
      </c>
      <c r="F194" s="6" t="s">
        <v>25</v>
      </c>
      <c r="G194" s="1" t="s">
        <v>1184</v>
      </c>
      <c r="H194" s="7" t="s">
        <v>27</v>
      </c>
      <c r="I194" s="1" t="s">
        <v>1185</v>
      </c>
      <c r="J194" s="1" t="s">
        <v>1208</v>
      </c>
      <c r="K194" s="1" t="s">
        <v>1209</v>
      </c>
      <c r="L194" s="1" t="s">
        <v>59</v>
      </c>
      <c r="M194" s="8" t="s">
        <v>23</v>
      </c>
      <c r="N194" s="8" t="s">
        <v>59</v>
      </c>
      <c r="O194" s="1" t="s">
        <v>59</v>
      </c>
      <c r="P194" s="1" t="s">
        <v>60</v>
      </c>
    </row>
    <row r="195" spans="1:16" ht="57.6" x14ac:dyDescent="0.3">
      <c r="A195" s="1" t="s">
        <v>1210</v>
      </c>
      <c r="B195" s="1" t="s">
        <v>1180</v>
      </c>
      <c r="C195" s="1" t="s">
        <v>1181</v>
      </c>
      <c r="D195" s="1" t="s">
        <v>1211</v>
      </c>
      <c r="E195" s="1" t="s">
        <v>1212</v>
      </c>
      <c r="F195" s="6" t="s">
        <v>25</v>
      </c>
      <c r="G195" s="1" t="s">
        <v>1184</v>
      </c>
      <c r="H195" s="7" t="s">
        <v>27</v>
      </c>
      <c r="I195" s="1" t="s">
        <v>1185</v>
      </c>
      <c r="J195" s="1" t="s">
        <v>1213</v>
      </c>
      <c r="K195" s="1" t="s">
        <v>1214</v>
      </c>
      <c r="L195" s="1" t="s">
        <v>59</v>
      </c>
      <c r="M195" s="8" t="s">
        <v>23</v>
      </c>
      <c r="N195" s="8" t="s">
        <v>59</v>
      </c>
      <c r="O195" s="1" t="s">
        <v>59</v>
      </c>
      <c r="P195" s="1" t="s">
        <v>60</v>
      </c>
    </row>
    <row r="196" spans="1:16" ht="57.6" x14ac:dyDescent="0.3">
      <c r="A196" s="1" t="s">
        <v>1215</v>
      </c>
      <c r="B196" s="1" t="s">
        <v>1180</v>
      </c>
      <c r="C196" s="1" t="s">
        <v>1181</v>
      </c>
      <c r="D196" s="1" t="s">
        <v>1216</v>
      </c>
      <c r="E196" s="1" t="s">
        <v>1217</v>
      </c>
      <c r="F196" s="6" t="s">
        <v>25</v>
      </c>
      <c r="G196" s="1" t="s">
        <v>1184</v>
      </c>
      <c r="H196" s="7" t="s">
        <v>24</v>
      </c>
      <c r="I196" s="1" t="s">
        <v>1218</v>
      </c>
      <c r="J196" s="1" t="s">
        <v>1219</v>
      </c>
      <c r="K196" s="1" t="s">
        <v>1220</v>
      </c>
      <c r="L196" s="1" t="s">
        <v>59</v>
      </c>
      <c r="M196" s="8" t="s">
        <v>23</v>
      </c>
      <c r="N196" s="8" t="s">
        <v>59</v>
      </c>
      <c r="O196" s="1" t="s">
        <v>59</v>
      </c>
      <c r="P196" s="1" t="s">
        <v>101</v>
      </c>
    </row>
    <row r="197" spans="1:16" ht="43.2" x14ac:dyDescent="0.3">
      <c r="A197" s="1" t="s">
        <v>1221</v>
      </c>
      <c r="B197" s="1" t="s">
        <v>1180</v>
      </c>
      <c r="C197" s="1" t="s">
        <v>1181</v>
      </c>
      <c r="D197" s="1" t="s">
        <v>1222</v>
      </c>
      <c r="E197" s="1" t="s">
        <v>1223</v>
      </c>
      <c r="F197" s="6" t="s">
        <v>30</v>
      </c>
      <c r="G197" s="1" t="s">
        <v>416</v>
      </c>
      <c r="H197" s="7" t="s">
        <v>24</v>
      </c>
      <c r="I197" s="1" t="s">
        <v>1224</v>
      </c>
      <c r="J197" s="1" t="s">
        <v>1225</v>
      </c>
      <c r="K197" s="1" t="s">
        <v>1226</v>
      </c>
      <c r="L197" s="1" t="s">
        <v>59</v>
      </c>
      <c r="M197" s="8" t="s">
        <v>23</v>
      </c>
      <c r="N197" s="8" t="s">
        <v>59</v>
      </c>
      <c r="O197" s="1" t="s">
        <v>59</v>
      </c>
      <c r="P197" s="1" t="s">
        <v>81</v>
      </c>
    </row>
    <row r="198" spans="1:16" ht="57.6" x14ac:dyDescent="0.3">
      <c r="A198" s="1" t="s">
        <v>1227</v>
      </c>
      <c r="B198" s="1" t="s">
        <v>1180</v>
      </c>
      <c r="C198" s="1" t="s">
        <v>1181</v>
      </c>
      <c r="D198" s="1" t="s">
        <v>1228</v>
      </c>
      <c r="E198" s="1" t="s">
        <v>1229</v>
      </c>
      <c r="F198" s="6" t="s">
        <v>25</v>
      </c>
      <c r="G198" s="1" t="s">
        <v>416</v>
      </c>
      <c r="H198" s="7" t="s">
        <v>27</v>
      </c>
      <c r="I198" s="1" t="s">
        <v>1230</v>
      </c>
      <c r="J198" s="1" t="s">
        <v>1231</v>
      </c>
      <c r="K198" s="1" t="s">
        <v>1232</v>
      </c>
      <c r="L198" s="1" t="s">
        <v>59</v>
      </c>
      <c r="M198" s="8" t="s">
        <v>23</v>
      </c>
      <c r="N198" s="8" t="s">
        <v>59</v>
      </c>
      <c r="O198" s="1" t="s">
        <v>59</v>
      </c>
      <c r="P198" s="1" t="s">
        <v>263</v>
      </c>
    </row>
    <row r="199" spans="1:16" ht="57.6" x14ac:dyDescent="0.3">
      <c r="A199" s="1" t="s">
        <v>1233</v>
      </c>
      <c r="B199" s="1" t="s">
        <v>1180</v>
      </c>
      <c r="C199" s="1" t="s">
        <v>1181</v>
      </c>
      <c r="D199" s="1" t="s">
        <v>1234</v>
      </c>
      <c r="E199" s="1" t="s">
        <v>1235</v>
      </c>
      <c r="F199" s="6" t="s">
        <v>25</v>
      </c>
      <c r="G199" s="1" t="s">
        <v>416</v>
      </c>
      <c r="H199" s="7" t="s">
        <v>27</v>
      </c>
      <c r="I199" s="1" t="s">
        <v>1236</v>
      </c>
      <c r="J199" s="1" t="s">
        <v>1237</v>
      </c>
      <c r="K199" s="1" t="s">
        <v>1238</v>
      </c>
      <c r="L199" s="1" t="s">
        <v>59</v>
      </c>
      <c r="M199" s="8" t="s">
        <v>23</v>
      </c>
      <c r="N199" s="8" t="s">
        <v>59</v>
      </c>
      <c r="O199" s="1" t="s">
        <v>59</v>
      </c>
      <c r="P199" s="1" t="s">
        <v>60</v>
      </c>
    </row>
    <row r="200" spans="1:16" ht="57.6" x14ac:dyDescent="0.3">
      <c r="A200" s="1" t="s">
        <v>1239</v>
      </c>
      <c r="B200" s="1" t="s">
        <v>1180</v>
      </c>
      <c r="C200" s="1" t="s">
        <v>1181</v>
      </c>
      <c r="D200" s="1" t="s">
        <v>1240</v>
      </c>
      <c r="E200" s="1" t="s">
        <v>1241</v>
      </c>
      <c r="F200" s="6" t="s">
        <v>31</v>
      </c>
      <c r="G200" s="1" t="s">
        <v>416</v>
      </c>
      <c r="H200" s="7" t="s">
        <v>27</v>
      </c>
      <c r="I200" s="1" t="s">
        <v>1242</v>
      </c>
      <c r="J200" s="1" t="s">
        <v>1243</v>
      </c>
      <c r="K200" s="1" t="s">
        <v>1244</v>
      </c>
      <c r="L200" s="1" t="s">
        <v>59</v>
      </c>
      <c r="M200" s="8" t="s">
        <v>23</v>
      </c>
      <c r="N200" s="8" t="s">
        <v>59</v>
      </c>
      <c r="O200" s="1" t="s">
        <v>59</v>
      </c>
      <c r="P200" s="1" t="s">
        <v>263</v>
      </c>
    </row>
    <row r="201" spans="1:16" ht="43.2" x14ac:dyDescent="0.3">
      <c r="A201" s="1" t="s">
        <v>1245</v>
      </c>
      <c r="B201" s="1" t="s">
        <v>1180</v>
      </c>
      <c r="C201" s="1" t="s">
        <v>1181</v>
      </c>
      <c r="D201" s="1" t="s">
        <v>1246</v>
      </c>
      <c r="E201" s="1" t="s">
        <v>1247</v>
      </c>
      <c r="F201" s="6" t="s">
        <v>31</v>
      </c>
      <c r="G201" s="1" t="s">
        <v>416</v>
      </c>
      <c r="H201" s="7" t="s">
        <v>27</v>
      </c>
      <c r="I201" s="1" t="s">
        <v>1248</v>
      </c>
      <c r="J201" s="1" t="s">
        <v>1249</v>
      </c>
      <c r="K201" s="1" t="s">
        <v>1250</v>
      </c>
      <c r="L201" s="1" t="s">
        <v>59</v>
      </c>
      <c r="M201" s="8" t="s">
        <v>23</v>
      </c>
      <c r="N201" s="8" t="s">
        <v>59</v>
      </c>
      <c r="O201" s="1" t="s">
        <v>59</v>
      </c>
      <c r="P201" s="1" t="s">
        <v>263</v>
      </c>
    </row>
    <row r="202" spans="1:16" ht="57.6" x14ac:dyDescent="0.3">
      <c r="A202" s="1" t="s">
        <v>1251</v>
      </c>
      <c r="B202" s="1" t="s">
        <v>1180</v>
      </c>
      <c r="C202" s="1" t="s">
        <v>1252</v>
      </c>
      <c r="D202" s="1" t="s">
        <v>1253</v>
      </c>
      <c r="E202" s="1" t="s">
        <v>1254</v>
      </c>
      <c r="F202" s="6" t="s">
        <v>25</v>
      </c>
      <c r="G202" s="1" t="s">
        <v>1255</v>
      </c>
      <c r="H202" s="7" t="s">
        <v>24</v>
      </c>
      <c r="I202" s="1" t="s">
        <v>1256</v>
      </c>
      <c r="J202" s="1" t="s">
        <v>1257</v>
      </c>
      <c r="K202" s="1" t="s">
        <v>1258</v>
      </c>
      <c r="L202" s="1" t="s">
        <v>59</v>
      </c>
      <c r="M202" s="8" t="s">
        <v>23</v>
      </c>
      <c r="N202" s="8" t="s">
        <v>59</v>
      </c>
      <c r="O202" s="1" t="s">
        <v>59</v>
      </c>
      <c r="P202" s="1" t="s">
        <v>60</v>
      </c>
    </row>
    <row r="203" spans="1:16" ht="86.4" x14ac:dyDescent="0.3">
      <c r="A203" s="1" t="s">
        <v>1259</v>
      </c>
      <c r="B203" s="1" t="s">
        <v>1180</v>
      </c>
      <c r="C203" s="1" t="s">
        <v>1252</v>
      </c>
      <c r="D203" s="1" t="s">
        <v>1260</v>
      </c>
      <c r="E203" s="1" t="s">
        <v>1261</v>
      </c>
      <c r="F203" s="6" t="s">
        <v>25</v>
      </c>
      <c r="G203" s="1" t="s">
        <v>1255</v>
      </c>
      <c r="H203" s="7" t="s">
        <v>24</v>
      </c>
      <c r="I203" s="1" t="s">
        <v>1262</v>
      </c>
      <c r="J203" s="1" t="s">
        <v>1263</v>
      </c>
      <c r="K203" s="1" t="s">
        <v>1264</v>
      </c>
      <c r="L203" s="1" t="s">
        <v>59</v>
      </c>
      <c r="M203" s="8" t="s">
        <v>23</v>
      </c>
      <c r="N203" s="8" t="s">
        <v>59</v>
      </c>
      <c r="O203" s="1" t="s">
        <v>59</v>
      </c>
      <c r="P203" s="1" t="s">
        <v>60</v>
      </c>
    </row>
    <row r="204" spans="1:16" ht="43.2" x14ac:dyDescent="0.3">
      <c r="A204" s="1" t="s">
        <v>1265</v>
      </c>
      <c r="B204" s="1" t="s">
        <v>1180</v>
      </c>
      <c r="C204" s="1" t="s">
        <v>1252</v>
      </c>
      <c r="D204" s="1" t="s">
        <v>1266</v>
      </c>
      <c r="E204" s="1" t="s">
        <v>1267</v>
      </c>
      <c r="F204" s="6" t="s">
        <v>30</v>
      </c>
      <c r="G204" s="1" t="s">
        <v>180</v>
      </c>
      <c r="H204" s="7" t="s">
        <v>24</v>
      </c>
      <c r="I204" s="1" t="s">
        <v>1268</v>
      </c>
      <c r="J204" s="1" t="s">
        <v>1269</v>
      </c>
      <c r="K204" s="1" t="s">
        <v>1270</v>
      </c>
      <c r="L204" s="1" t="s">
        <v>59</v>
      </c>
      <c r="M204" s="8" t="s">
        <v>23</v>
      </c>
      <c r="N204" s="8" t="s">
        <v>59</v>
      </c>
      <c r="O204" s="1" t="s">
        <v>59</v>
      </c>
      <c r="P204" s="1" t="s">
        <v>88</v>
      </c>
    </row>
    <row r="205" spans="1:16" ht="72" x14ac:dyDescent="0.3">
      <c r="A205" s="1" t="s">
        <v>1271</v>
      </c>
      <c r="B205" s="1" t="s">
        <v>1180</v>
      </c>
      <c r="C205" s="1" t="s">
        <v>1252</v>
      </c>
      <c r="D205" s="1" t="s">
        <v>1272</v>
      </c>
      <c r="E205" s="1" t="s">
        <v>1273</v>
      </c>
      <c r="F205" s="6" t="s">
        <v>31</v>
      </c>
      <c r="G205" s="1" t="s">
        <v>1255</v>
      </c>
      <c r="H205" s="7" t="s">
        <v>27</v>
      </c>
      <c r="I205" s="1" t="s">
        <v>1274</v>
      </c>
      <c r="J205" s="1" t="s">
        <v>1275</v>
      </c>
      <c r="K205" s="1" t="s">
        <v>1276</v>
      </c>
      <c r="L205" s="1" t="s">
        <v>59</v>
      </c>
      <c r="M205" s="8" t="s">
        <v>23</v>
      </c>
      <c r="N205" s="8" t="s">
        <v>59</v>
      </c>
      <c r="O205" s="1" t="s">
        <v>59</v>
      </c>
      <c r="P205" s="1" t="s">
        <v>60</v>
      </c>
    </row>
    <row r="206" spans="1:16" ht="57.6" x14ac:dyDescent="0.3">
      <c r="A206" s="1" t="s">
        <v>1277</v>
      </c>
      <c r="B206" s="1" t="s">
        <v>1180</v>
      </c>
      <c r="C206" s="1" t="s">
        <v>1252</v>
      </c>
      <c r="D206" s="1" t="s">
        <v>1278</v>
      </c>
      <c r="E206" s="1" t="s">
        <v>1279</v>
      </c>
      <c r="F206" s="6" t="s">
        <v>25</v>
      </c>
      <c r="G206" s="1" t="s">
        <v>1255</v>
      </c>
      <c r="H206" s="7" t="s">
        <v>24</v>
      </c>
      <c r="I206" s="1" t="s">
        <v>1280</v>
      </c>
      <c r="J206" s="1" t="s">
        <v>1281</v>
      </c>
      <c r="K206" s="1" t="s">
        <v>1282</v>
      </c>
      <c r="L206" s="1" t="s">
        <v>59</v>
      </c>
      <c r="M206" s="8" t="s">
        <v>23</v>
      </c>
      <c r="N206" s="8" t="s">
        <v>59</v>
      </c>
      <c r="O206" s="1" t="s">
        <v>59</v>
      </c>
      <c r="P206" s="1" t="s">
        <v>263</v>
      </c>
    </row>
    <row r="207" spans="1:16" ht="57.6" x14ac:dyDescent="0.3">
      <c r="A207" s="1" t="s">
        <v>1283</v>
      </c>
      <c r="B207" s="1" t="s">
        <v>1180</v>
      </c>
      <c r="C207" s="1" t="s">
        <v>1252</v>
      </c>
      <c r="D207" s="1" t="s">
        <v>1284</v>
      </c>
      <c r="E207" s="1" t="s">
        <v>1285</v>
      </c>
      <c r="F207" s="6" t="s">
        <v>25</v>
      </c>
      <c r="G207" s="1" t="s">
        <v>1255</v>
      </c>
      <c r="H207" s="7" t="s">
        <v>24</v>
      </c>
      <c r="I207" s="1" t="s">
        <v>1286</v>
      </c>
      <c r="J207" s="1" t="s">
        <v>1287</v>
      </c>
      <c r="K207" s="1" t="s">
        <v>1288</v>
      </c>
      <c r="L207" s="1" t="s">
        <v>59</v>
      </c>
      <c r="M207" s="8" t="s">
        <v>23</v>
      </c>
      <c r="N207" s="8" t="s">
        <v>59</v>
      </c>
      <c r="O207" s="1" t="s">
        <v>59</v>
      </c>
      <c r="P207" s="1" t="s">
        <v>81</v>
      </c>
    </row>
    <row r="208" spans="1:16" ht="57.6" x14ac:dyDescent="0.3">
      <c r="A208" s="1" t="s">
        <v>1289</v>
      </c>
      <c r="B208" s="1" t="s">
        <v>1180</v>
      </c>
      <c r="C208" s="1" t="s">
        <v>1252</v>
      </c>
      <c r="D208" s="1" t="s">
        <v>1290</v>
      </c>
      <c r="E208" s="1" t="s">
        <v>1291</v>
      </c>
      <c r="F208" s="6" t="s">
        <v>31</v>
      </c>
      <c r="G208" s="1" t="s">
        <v>1255</v>
      </c>
      <c r="H208" s="7" t="s">
        <v>24</v>
      </c>
      <c r="I208" s="1" t="s">
        <v>1292</v>
      </c>
      <c r="J208" s="1" t="s">
        <v>1293</v>
      </c>
      <c r="K208" s="1" t="s">
        <v>1294</v>
      </c>
      <c r="L208" s="1" t="s">
        <v>59</v>
      </c>
      <c r="M208" s="8" t="s">
        <v>23</v>
      </c>
      <c r="N208" s="8" t="s">
        <v>59</v>
      </c>
      <c r="O208" s="1" t="s">
        <v>59</v>
      </c>
      <c r="P208" s="1" t="s">
        <v>101</v>
      </c>
    </row>
    <row r="209" spans="1:16" ht="57.6" x14ac:dyDescent="0.3">
      <c r="A209" s="1" t="s">
        <v>1295</v>
      </c>
      <c r="B209" s="1" t="s">
        <v>1180</v>
      </c>
      <c r="C209" s="1" t="s">
        <v>1252</v>
      </c>
      <c r="D209" s="1" t="s">
        <v>1296</v>
      </c>
      <c r="E209" s="1" t="s">
        <v>1297</v>
      </c>
      <c r="F209" s="6" t="s">
        <v>31</v>
      </c>
      <c r="G209" s="1" t="s">
        <v>1255</v>
      </c>
      <c r="H209" s="7" t="s">
        <v>24</v>
      </c>
      <c r="I209" s="1" t="s">
        <v>1298</v>
      </c>
      <c r="J209" s="1" t="s">
        <v>1299</v>
      </c>
      <c r="K209" s="1" t="s">
        <v>1300</v>
      </c>
      <c r="L209" s="1" t="s">
        <v>59</v>
      </c>
      <c r="M209" s="8" t="s">
        <v>23</v>
      </c>
      <c r="N209" s="8" t="s">
        <v>59</v>
      </c>
      <c r="O209" s="1" t="s">
        <v>59</v>
      </c>
      <c r="P209" s="1" t="s">
        <v>81</v>
      </c>
    </row>
    <row r="210" spans="1:16" ht="57.6" x14ac:dyDescent="0.3">
      <c r="A210" s="1" t="s">
        <v>1301</v>
      </c>
      <c r="B210" s="1" t="s">
        <v>1180</v>
      </c>
      <c r="C210" s="1" t="s">
        <v>1252</v>
      </c>
      <c r="D210" s="1" t="s">
        <v>1302</v>
      </c>
      <c r="E210" s="1" t="s">
        <v>1303</v>
      </c>
      <c r="F210" s="6" t="s">
        <v>31</v>
      </c>
      <c r="G210" s="1" t="s">
        <v>1304</v>
      </c>
      <c r="H210" s="7" t="s">
        <v>24</v>
      </c>
      <c r="I210" s="1" t="s">
        <v>1305</v>
      </c>
      <c r="J210" s="1" t="s">
        <v>1306</v>
      </c>
      <c r="K210" s="1" t="s">
        <v>1307</v>
      </c>
      <c r="L210" s="1" t="s">
        <v>59</v>
      </c>
      <c r="M210" s="8" t="s">
        <v>23</v>
      </c>
      <c r="N210" s="8" t="s">
        <v>59</v>
      </c>
      <c r="O210" s="1" t="s">
        <v>59</v>
      </c>
      <c r="P210" s="1" t="s">
        <v>81</v>
      </c>
    </row>
    <row r="211" spans="1:16" ht="43.2" x14ac:dyDescent="0.3">
      <c r="A211" s="1" t="s">
        <v>1308</v>
      </c>
      <c r="B211" s="1" t="s">
        <v>1180</v>
      </c>
      <c r="C211" s="1" t="s">
        <v>1252</v>
      </c>
      <c r="D211" s="1" t="s">
        <v>1309</v>
      </c>
      <c r="E211" s="1" t="s">
        <v>1310</v>
      </c>
      <c r="F211" s="6" t="s">
        <v>30</v>
      </c>
      <c r="G211" s="1" t="s">
        <v>180</v>
      </c>
      <c r="H211" s="7" t="s">
        <v>24</v>
      </c>
      <c r="I211" s="1" t="s">
        <v>1311</v>
      </c>
      <c r="J211" s="1" t="s">
        <v>1312</v>
      </c>
      <c r="K211" s="1" t="s">
        <v>1313</v>
      </c>
      <c r="L211" s="1" t="s">
        <v>59</v>
      </c>
      <c r="M211" s="8" t="s">
        <v>23</v>
      </c>
      <c r="N211" s="8" t="s">
        <v>59</v>
      </c>
      <c r="O211" s="1" t="s">
        <v>59</v>
      </c>
      <c r="P211" s="1" t="s">
        <v>101</v>
      </c>
    </row>
    <row r="212" spans="1:16" ht="60" customHeight="1" x14ac:dyDescent="0.3">
      <c r="A212" s="1" t="s">
        <v>1314</v>
      </c>
      <c r="B212" s="1" t="s">
        <v>577</v>
      </c>
      <c r="C212" s="1" t="s">
        <v>1315</v>
      </c>
      <c r="D212" s="1" t="s">
        <v>1316</v>
      </c>
      <c r="E212" s="1" t="s">
        <v>1317</v>
      </c>
      <c r="F212" s="6" t="s">
        <v>25</v>
      </c>
      <c r="G212" s="1" t="s">
        <v>1318</v>
      </c>
      <c r="H212" s="7" t="s">
        <v>24</v>
      </c>
      <c r="I212" s="1" t="s">
        <v>1319</v>
      </c>
      <c r="J212" s="1" t="s">
        <v>1320</v>
      </c>
      <c r="K212" s="1" t="s">
        <v>1321</v>
      </c>
      <c r="L212" s="1" t="s">
        <v>1322</v>
      </c>
      <c r="M212" s="8" t="s">
        <v>23</v>
      </c>
      <c r="N212" s="8" t="s">
        <v>59</v>
      </c>
      <c r="O212" s="1" t="s">
        <v>59</v>
      </c>
      <c r="P212" s="1" t="s">
        <v>1323</v>
      </c>
    </row>
    <row r="213" spans="1:16" ht="60" customHeight="1" x14ac:dyDescent="0.3">
      <c r="A213" s="1" t="s">
        <v>1324</v>
      </c>
      <c r="B213" s="1" t="s">
        <v>577</v>
      </c>
      <c r="C213" s="1" t="s">
        <v>1315</v>
      </c>
      <c r="D213" s="1" t="s">
        <v>1325</v>
      </c>
      <c r="E213" s="1" t="s">
        <v>1326</v>
      </c>
      <c r="F213" s="6" t="s">
        <v>25</v>
      </c>
      <c r="G213" s="1" t="s">
        <v>1327</v>
      </c>
      <c r="H213" s="7" t="s">
        <v>24</v>
      </c>
      <c r="I213" s="1" t="s">
        <v>1328</v>
      </c>
      <c r="J213" s="1" t="s">
        <v>1329</v>
      </c>
      <c r="K213" s="1" t="s">
        <v>1330</v>
      </c>
      <c r="L213" s="1" t="s">
        <v>1331</v>
      </c>
      <c r="M213" s="8" t="s">
        <v>23</v>
      </c>
      <c r="N213" s="8" t="s">
        <v>59</v>
      </c>
      <c r="O213" s="1" t="s">
        <v>59</v>
      </c>
      <c r="P213" s="1" t="s">
        <v>1332</v>
      </c>
    </row>
    <row r="214" spans="1:16" ht="60" customHeight="1" x14ac:dyDescent="0.3">
      <c r="A214" s="1" t="s">
        <v>1333</v>
      </c>
      <c r="B214" s="1" t="s">
        <v>577</v>
      </c>
      <c r="C214" s="1" t="s">
        <v>1315</v>
      </c>
      <c r="D214" s="1" t="s">
        <v>1334</v>
      </c>
      <c r="E214" s="1" t="s">
        <v>1335</v>
      </c>
      <c r="F214" s="6" t="s">
        <v>25</v>
      </c>
      <c r="G214" s="1" t="s">
        <v>1327</v>
      </c>
      <c r="H214" s="7" t="s">
        <v>24</v>
      </c>
      <c r="I214" s="1" t="s">
        <v>1336</v>
      </c>
      <c r="J214" s="1" t="s">
        <v>1337</v>
      </c>
      <c r="K214" s="1" t="s">
        <v>1338</v>
      </c>
      <c r="L214" s="1" t="s">
        <v>1339</v>
      </c>
      <c r="M214" s="8" t="s">
        <v>23</v>
      </c>
      <c r="N214" s="8" t="s">
        <v>59</v>
      </c>
      <c r="O214" s="1" t="s">
        <v>59</v>
      </c>
      <c r="P214" s="1" t="s">
        <v>1323</v>
      </c>
    </row>
    <row r="215" spans="1:16" ht="60" customHeight="1" x14ac:dyDescent="0.3">
      <c r="A215" s="1" t="s">
        <v>1340</v>
      </c>
      <c r="B215" s="1" t="s">
        <v>577</v>
      </c>
      <c r="C215" s="1" t="s">
        <v>1315</v>
      </c>
      <c r="D215" s="1" t="s">
        <v>1341</v>
      </c>
      <c r="E215" s="1" t="s">
        <v>1342</v>
      </c>
      <c r="F215" s="6" t="s">
        <v>25</v>
      </c>
      <c r="G215" s="1" t="s">
        <v>1327</v>
      </c>
      <c r="H215" s="7" t="s">
        <v>27</v>
      </c>
      <c r="I215" s="1" t="s">
        <v>1343</v>
      </c>
      <c r="J215" s="1" t="s">
        <v>1344</v>
      </c>
      <c r="K215" s="1" t="s">
        <v>1345</v>
      </c>
      <c r="L215" s="1" t="s">
        <v>1346</v>
      </c>
      <c r="M215" s="8" t="s">
        <v>23</v>
      </c>
      <c r="N215" s="8" t="s">
        <v>59</v>
      </c>
      <c r="O215" s="1" t="s">
        <v>59</v>
      </c>
      <c r="P215" s="1" t="s">
        <v>1323</v>
      </c>
    </row>
    <row r="216" spans="1:16" ht="60" customHeight="1" x14ac:dyDescent="0.3">
      <c r="A216" s="1" t="s">
        <v>1347</v>
      </c>
      <c r="B216" s="1" t="s">
        <v>577</v>
      </c>
      <c r="C216" s="1" t="s">
        <v>1315</v>
      </c>
      <c r="D216" s="1" t="s">
        <v>1348</v>
      </c>
      <c r="E216" s="1" t="s">
        <v>1349</v>
      </c>
      <c r="F216" s="6" t="s">
        <v>25</v>
      </c>
      <c r="G216" s="1" t="s">
        <v>1327</v>
      </c>
      <c r="H216" s="7" t="s">
        <v>27</v>
      </c>
      <c r="I216" s="1" t="s">
        <v>1350</v>
      </c>
      <c r="J216" s="1" t="s">
        <v>1351</v>
      </c>
      <c r="K216" s="1" t="s">
        <v>1352</v>
      </c>
      <c r="L216" s="1" t="s">
        <v>1353</v>
      </c>
      <c r="M216" s="8" t="s">
        <v>23</v>
      </c>
      <c r="N216" s="8" t="s">
        <v>59</v>
      </c>
      <c r="O216" s="1" t="s">
        <v>59</v>
      </c>
      <c r="P216" s="1" t="s">
        <v>1323</v>
      </c>
    </row>
    <row r="217" spans="1:16" ht="60" customHeight="1" x14ac:dyDescent="0.3">
      <c r="A217" s="1" t="s">
        <v>1354</v>
      </c>
      <c r="B217" s="1" t="s">
        <v>577</v>
      </c>
      <c r="C217" s="1" t="s">
        <v>1315</v>
      </c>
      <c r="D217" s="1" t="s">
        <v>1355</v>
      </c>
      <c r="E217" s="1" t="s">
        <v>1356</v>
      </c>
      <c r="F217" s="6" t="s">
        <v>25</v>
      </c>
      <c r="G217" s="1" t="s">
        <v>1327</v>
      </c>
      <c r="H217" s="7" t="s">
        <v>27</v>
      </c>
      <c r="I217" s="1" t="s">
        <v>1357</v>
      </c>
      <c r="J217" s="1" t="s">
        <v>1358</v>
      </c>
      <c r="K217" s="1" t="s">
        <v>1359</v>
      </c>
      <c r="L217" s="1" t="s">
        <v>1360</v>
      </c>
      <c r="M217" s="8" t="s">
        <v>23</v>
      </c>
      <c r="N217" s="8" t="s">
        <v>59</v>
      </c>
      <c r="O217" s="1" t="s">
        <v>59</v>
      </c>
      <c r="P217" s="1" t="s">
        <v>1323</v>
      </c>
    </row>
    <row r="218" spans="1:16" ht="60" customHeight="1" x14ac:dyDescent="0.3">
      <c r="A218" s="1" t="s">
        <v>1361</v>
      </c>
      <c r="B218" s="1" t="s">
        <v>577</v>
      </c>
      <c r="C218" s="1" t="s">
        <v>1315</v>
      </c>
      <c r="D218" s="1" t="s">
        <v>1362</v>
      </c>
      <c r="E218" s="1" t="s">
        <v>1363</v>
      </c>
      <c r="F218" s="6" t="s">
        <v>28</v>
      </c>
      <c r="G218" s="1" t="s">
        <v>1327</v>
      </c>
      <c r="H218" s="7" t="s">
        <v>29</v>
      </c>
      <c r="I218" s="1" t="s">
        <v>1364</v>
      </c>
      <c r="J218" s="1" t="s">
        <v>1365</v>
      </c>
      <c r="K218" s="1" t="s">
        <v>1366</v>
      </c>
      <c r="L218" s="1" t="s">
        <v>1367</v>
      </c>
      <c r="M218" s="8" t="s">
        <v>23</v>
      </c>
      <c r="N218" s="8" t="s">
        <v>59</v>
      </c>
      <c r="O218" s="1" t="s">
        <v>59</v>
      </c>
      <c r="P218" s="1" t="s">
        <v>1323</v>
      </c>
    </row>
    <row r="219" spans="1:16" ht="60" customHeight="1" x14ac:dyDescent="0.3">
      <c r="A219" s="1" t="s">
        <v>1368</v>
      </c>
      <c r="B219" s="1" t="s">
        <v>577</v>
      </c>
      <c r="C219" s="1" t="s">
        <v>1315</v>
      </c>
      <c r="D219" s="1" t="s">
        <v>1369</v>
      </c>
      <c r="E219" s="1" t="s">
        <v>1370</v>
      </c>
      <c r="F219" s="6" t="s">
        <v>25</v>
      </c>
      <c r="G219" s="1" t="s">
        <v>1371</v>
      </c>
      <c r="H219" s="7" t="s">
        <v>24</v>
      </c>
      <c r="I219" s="1" t="s">
        <v>1372</v>
      </c>
      <c r="J219" s="1" t="s">
        <v>1373</v>
      </c>
      <c r="K219" s="1" t="s">
        <v>1374</v>
      </c>
      <c r="L219" s="1" t="s">
        <v>1375</v>
      </c>
      <c r="M219" s="8" t="s">
        <v>23</v>
      </c>
      <c r="N219" s="8" t="s">
        <v>59</v>
      </c>
      <c r="O219" s="1" t="s">
        <v>59</v>
      </c>
      <c r="P219" s="1" t="s">
        <v>1376</v>
      </c>
    </row>
    <row r="220" spans="1:16" ht="60" customHeight="1" x14ac:dyDescent="0.3">
      <c r="A220" s="1" t="s">
        <v>1377</v>
      </c>
      <c r="B220" s="1" t="s">
        <v>577</v>
      </c>
      <c r="C220" s="1" t="s">
        <v>1315</v>
      </c>
      <c r="D220" s="1" t="s">
        <v>1378</v>
      </c>
      <c r="E220" s="1" t="s">
        <v>1379</v>
      </c>
      <c r="F220" s="6" t="s">
        <v>25</v>
      </c>
      <c r="G220" s="1" t="s">
        <v>1371</v>
      </c>
      <c r="H220" s="7" t="s">
        <v>24</v>
      </c>
      <c r="I220" s="1" t="s">
        <v>1380</v>
      </c>
      <c r="J220" s="1" t="s">
        <v>1381</v>
      </c>
      <c r="K220" s="1" t="s">
        <v>1382</v>
      </c>
      <c r="L220" s="1" t="s">
        <v>1383</v>
      </c>
      <c r="M220" s="8" t="s">
        <v>23</v>
      </c>
      <c r="N220" s="8" t="s">
        <v>59</v>
      </c>
      <c r="O220" s="1" t="s">
        <v>59</v>
      </c>
      <c r="P220" s="1" t="s">
        <v>1384</v>
      </c>
    </row>
    <row r="221" spans="1:16" ht="60" customHeight="1" x14ac:dyDescent="0.3">
      <c r="A221" s="1" t="s">
        <v>1385</v>
      </c>
      <c r="B221" s="1" t="s">
        <v>577</v>
      </c>
      <c r="C221" s="1" t="s">
        <v>1315</v>
      </c>
      <c r="D221" s="1" t="s">
        <v>1386</v>
      </c>
      <c r="E221" s="1" t="s">
        <v>1387</v>
      </c>
      <c r="F221" s="6" t="s">
        <v>25</v>
      </c>
      <c r="G221" s="1" t="s">
        <v>1371</v>
      </c>
      <c r="H221" s="7" t="s">
        <v>24</v>
      </c>
      <c r="I221" s="1" t="s">
        <v>1388</v>
      </c>
      <c r="J221" s="1" t="s">
        <v>1389</v>
      </c>
      <c r="K221" s="1" t="s">
        <v>1390</v>
      </c>
      <c r="L221" s="1" t="s">
        <v>1391</v>
      </c>
      <c r="M221" s="8" t="s">
        <v>23</v>
      </c>
      <c r="N221" s="8" t="s">
        <v>59</v>
      </c>
      <c r="O221" s="1" t="s">
        <v>59</v>
      </c>
      <c r="P221" s="1" t="s">
        <v>1384</v>
      </c>
    </row>
    <row r="222" spans="1:16" ht="60" customHeight="1" x14ac:dyDescent="0.3">
      <c r="A222" s="1" t="s">
        <v>1392</v>
      </c>
      <c r="B222" s="1" t="s">
        <v>577</v>
      </c>
      <c r="C222" s="1" t="s">
        <v>1315</v>
      </c>
      <c r="D222" s="1" t="s">
        <v>1393</v>
      </c>
      <c r="E222" s="1" t="s">
        <v>1394</v>
      </c>
      <c r="F222" s="6" t="s">
        <v>28</v>
      </c>
      <c r="G222" s="1" t="s">
        <v>1371</v>
      </c>
      <c r="H222" s="7" t="s">
        <v>24</v>
      </c>
      <c r="I222" s="1" t="s">
        <v>1395</v>
      </c>
      <c r="J222" s="1" t="s">
        <v>1396</v>
      </c>
      <c r="K222" s="1" t="s">
        <v>1397</v>
      </c>
      <c r="L222" s="1" t="s">
        <v>1398</v>
      </c>
      <c r="M222" s="8" t="s">
        <v>23</v>
      </c>
      <c r="N222" s="8" t="s">
        <v>59</v>
      </c>
      <c r="O222" s="1" t="s">
        <v>59</v>
      </c>
      <c r="P222" s="1" t="s">
        <v>1399</v>
      </c>
    </row>
    <row r="223" spans="1:16" ht="60" customHeight="1" x14ac:dyDescent="0.3">
      <c r="A223" s="1" t="s">
        <v>1400</v>
      </c>
      <c r="B223" s="1" t="s">
        <v>577</v>
      </c>
      <c r="C223" s="1" t="s">
        <v>1315</v>
      </c>
      <c r="D223" s="1" t="s">
        <v>1401</v>
      </c>
      <c r="E223" s="1" t="s">
        <v>1402</v>
      </c>
      <c r="F223" s="6" t="s">
        <v>28</v>
      </c>
      <c r="G223" s="1" t="s">
        <v>1371</v>
      </c>
      <c r="H223" s="7" t="s">
        <v>24</v>
      </c>
      <c r="I223" s="1" t="s">
        <v>1403</v>
      </c>
      <c r="J223" s="1" t="s">
        <v>1404</v>
      </c>
      <c r="K223" s="1" t="s">
        <v>1405</v>
      </c>
      <c r="L223" s="1" t="s">
        <v>1406</v>
      </c>
      <c r="M223" s="8" t="s">
        <v>23</v>
      </c>
      <c r="N223" s="8" t="s">
        <v>59</v>
      </c>
      <c r="O223" s="1" t="s">
        <v>59</v>
      </c>
      <c r="P223" s="1" t="s">
        <v>1376</v>
      </c>
    </row>
    <row r="224" spans="1:16" ht="60" customHeight="1" x14ac:dyDescent="0.3">
      <c r="A224" s="1" t="s">
        <v>1407</v>
      </c>
      <c r="B224" s="1" t="s">
        <v>577</v>
      </c>
      <c r="C224" s="1" t="s">
        <v>1315</v>
      </c>
      <c r="D224" s="1" t="s">
        <v>1408</v>
      </c>
      <c r="E224" s="1" t="s">
        <v>1409</v>
      </c>
      <c r="F224" s="6" t="s">
        <v>28</v>
      </c>
      <c r="G224" s="1" t="s">
        <v>1371</v>
      </c>
      <c r="H224" s="7" t="s">
        <v>27</v>
      </c>
      <c r="I224" s="1" t="s">
        <v>1410</v>
      </c>
      <c r="J224" s="1" t="s">
        <v>1411</v>
      </c>
      <c r="K224" s="1" t="s">
        <v>1412</v>
      </c>
      <c r="L224" s="1" t="s">
        <v>1413</v>
      </c>
      <c r="M224" s="8" t="s">
        <v>23</v>
      </c>
      <c r="N224" s="8" t="s">
        <v>59</v>
      </c>
      <c r="O224" s="1" t="s">
        <v>59</v>
      </c>
      <c r="P224" s="1" t="s">
        <v>1384</v>
      </c>
    </row>
    <row r="225" spans="1:16" ht="60" customHeight="1" x14ac:dyDescent="0.3">
      <c r="A225" s="1" t="s">
        <v>1414</v>
      </c>
      <c r="B225" s="1" t="s">
        <v>577</v>
      </c>
      <c r="C225" s="1" t="s">
        <v>1315</v>
      </c>
      <c r="D225" s="1" t="s">
        <v>1415</v>
      </c>
      <c r="E225" s="1" t="s">
        <v>1416</v>
      </c>
      <c r="F225" s="6" t="s">
        <v>25</v>
      </c>
      <c r="G225" s="1" t="s">
        <v>1327</v>
      </c>
      <c r="H225" s="7" t="s">
        <v>24</v>
      </c>
      <c r="I225" s="1" t="s">
        <v>1417</v>
      </c>
      <c r="J225" s="1" t="s">
        <v>1418</v>
      </c>
      <c r="K225" s="1" t="s">
        <v>1419</v>
      </c>
      <c r="L225" s="1" t="s">
        <v>1420</v>
      </c>
      <c r="M225" s="8" t="s">
        <v>23</v>
      </c>
      <c r="N225" s="8" t="s">
        <v>59</v>
      </c>
      <c r="O225" s="1" t="s">
        <v>59</v>
      </c>
      <c r="P225" s="1" t="s">
        <v>1421</v>
      </c>
    </row>
    <row r="226" spans="1:16" ht="60" customHeight="1" x14ac:dyDescent="0.3">
      <c r="A226" s="1" t="s">
        <v>1422</v>
      </c>
      <c r="B226" s="1" t="s">
        <v>577</v>
      </c>
      <c r="C226" s="1" t="s">
        <v>1315</v>
      </c>
      <c r="D226" s="1" t="s">
        <v>1423</v>
      </c>
      <c r="E226" s="1" t="s">
        <v>1424</v>
      </c>
      <c r="F226" s="6" t="s">
        <v>28</v>
      </c>
      <c r="G226" s="1" t="s">
        <v>1327</v>
      </c>
      <c r="H226" s="7" t="s">
        <v>27</v>
      </c>
      <c r="I226" s="1" t="s">
        <v>1425</v>
      </c>
      <c r="J226" s="1" t="s">
        <v>1426</v>
      </c>
      <c r="K226" s="1" t="s">
        <v>1427</v>
      </c>
      <c r="L226" s="1" t="s">
        <v>1428</v>
      </c>
      <c r="M226" s="8" t="s">
        <v>23</v>
      </c>
      <c r="N226" s="8" t="s">
        <v>59</v>
      </c>
      <c r="O226" s="1" t="s">
        <v>59</v>
      </c>
      <c r="P226" s="1" t="s">
        <v>1376</v>
      </c>
    </row>
    <row r="227" spans="1:16" ht="60" customHeight="1" x14ac:dyDescent="0.3">
      <c r="A227" s="1" t="s">
        <v>1429</v>
      </c>
      <c r="B227" s="1" t="s">
        <v>577</v>
      </c>
      <c r="C227" s="1" t="s">
        <v>1315</v>
      </c>
      <c r="D227" s="1" t="s">
        <v>1430</v>
      </c>
      <c r="E227" s="1" t="s">
        <v>1431</v>
      </c>
      <c r="F227" s="6" t="s">
        <v>25</v>
      </c>
      <c r="G227" s="1" t="s">
        <v>1371</v>
      </c>
      <c r="H227" s="7" t="s">
        <v>24</v>
      </c>
      <c r="I227" s="1" t="s">
        <v>1432</v>
      </c>
      <c r="J227" s="1" t="s">
        <v>1433</v>
      </c>
      <c r="K227" s="1" t="s">
        <v>1434</v>
      </c>
      <c r="L227" s="1" t="s">
        <v>1435</v>
      </c>
      <c r="M227" s="8" t="s">
        <v>23</v>
      </c>
      <c r="N227" s="8" t="s">
        <v>59</v>
      </c>
      <c r="O227" s="1" t="s">
        <v>59</v>
      </c>
      <c r="P227" s="1" t="s">
        <v>1376</v>
      </c>
    </row>
    <row r="228" spans="1:16" ht="60" customHeight="1" x14ac:dyDescent="0.3">
      <c r="A228" s="1" t="s">
        <v>1436</v>
      </c>
      <c r="B228" s="1" t="s">
        <v>577</v>
      </c>
      <c r="C228" s="1" t="s">
        <v>1315</v>
      </c>
      <c r="D228" s="1" t="s">
        <v>1437</v>
      </c>
      <c r="E228" s="1" t="s">
        <v>1438</v>
      </c>
      <c r="F228" s="6" t="s">
        <v>25</v>
      </c>
      <c r="G228" s="1" t="s">
        <v>1371</v>
      </c>
      <c r="H228" s="7" t="s">
        <v>27</v>
      </c>
      <c r="I228" s="1" t="s">
        <v>1439</v>
      </c>
      <c r="J228" s="1" t="s">
        <v>1440</v>
      </c>
      <c r="K228" s="1" t="s">
        <v>1441</v>
      </c>
      <c r="L228" s="1" t="s">
        <v>1442</v>
      </c>
      <c r="M228" s="8" t="s">
        <v>23</v>
      </c>
      <c r="N228" s="8" t="s">
        <v>59</v>
      </c>
      <c r="O228" s="1" t="s">
        <v>59</v>
      </c>
      <c r="P228" s="1" t="s">
        <v>1443</v>
      </c>
    </row>
    <row r="229" spans="1:16" ht="60" customHeight="1" x14ac:dyDescent="0.3">
      <c r="A229" s="1" t="s">
        <v>1444</v>
      </c>
      <c r="B229" s="1" t="s">
        <v>577</v>
      </c>
      <c r="C229" s="1" t="s">
        <v>1315</v>
      </c>
      <c r="D229" s="1" t="s">
        <v>1445</v>
      </c>
      <c r="E229" s="1" t="s">
        <v>1446</v>
      </c>
      <c r="F229" s="6" t="s">
        <v>28</v>
      </c>
      <c r="G229" s="1" t="s">
        <v>1371</v>
      </c>
      <c r="H229" s="7" t="s">
        <v>24</v>
      </c>
      <c r="I229" s="1" t="s">
        <v>1447</v>
      </c>
      <c r="J229" s="1" t="s">
        <v>1448</v>
      </c>
      <c r="K229" s="1" t="s">
        <v>1449</v>
      </c>
      <c r="L229" s="1" t="s">
        <v>1450</v>
      </c>
      <c r="M229" s="8" t="s">
        <v>23</v>
      </c>
      <c r="N229" s="8" t="s">
        <v>59</v>
      </c>
      <c r="O229" s="1" t="s">
        <v>59</v>
      </c>
      <c r="P229" s="1" t="s">
        <v>1376</v>
      </c>
    </row>
    <row r="230" spans="1:16" ht="60" customHeight="1" x14ac:dyDescent="0.3">
      <c r="A230" s="1" t="s">
        <v>1451</v>
      </c>
      <c r="B230" s="1" t="s">
        <v>577</v>
      </c>
      <c r="C230" s="1" t="s">
        <v>1315</v>
      </c>
      <c r="D230" s="1" t="s">
        <v>1452</v>
      </c>
      <c r="E230" s="1" t="s">
        <v>1453</v>
      </c>
      <c r="F230" s="6" t="s">
        <v>25</v>
      </c>
      <c r="G230" s="1" t="s">
        <v>1371</v>
      </c>
      <c r="H230" s="7" t="s">
        <v>24</v>
      </c>
      <c r="I230" s="1" t="s">
        <v>1454</v>
      </c>
      <c r="J230" s="1" t="s">
        <v>1455</v>
      </c>
      <c r="K230" s="1" t="s">
        <v>1456</v>
      </c>
      <c r="L230" s="1" t="s">
        <v>1457</v>
      </c>
      <c r="M230" s="8" t="s">
        <v>23</v>
      </c>
      <c r="N230" s="8" t="s">
        <v>59</v>
      </c>
      <c r="O230" s="1" t="s">
        <v>59</v>
      </c>
      <c r="P230" s="1" t="s">
        <v>1376</v>
      </c>
    </row>
    <row r="231" spans="1:16" ht="60" customHeight="1" x14ac:dyDescent="0.3">
      <c r="A231" s="1" t="s">
        <v>1458</v>
      </c>
      <c r="B231" s="1" t="s">
        <v>577</v>
      </c>
      <c r="C231" s="1" t="s">
        <v>1315</v>
      </c>
      <c r="D231" s="1" t="s">
        <v>1459</v>
      </c>
      <c r="E231" s="1" t="s">
        <v>1460</v>
      </c>
      <c r="F231" s="6" t="s">
        <v>28</v>
      </c>
      <c r="G231" s="1" t="s">
        <v>1371</v>
      </c>
      <c r="H231" s="7" t="s">
        <v>27</v>
      </c>
      <c r="I231" s="1" t="s">
        <v>1454</v>
      </c>
      <c r="J231" s="1" t="s">
        <v>1461</v>
      </c>
      <c r="K231" s="1" t="s">
        <v>1462</v>
      </c>
      <c r="L231" s="1" t="s">
        <v>1463</v>
      </c>
      <c r="M231" s="8" t="s">
        <v>23</v>
      </c>
      <c r="N231" s="8" t="s">
        <v>59</v>
      </c>
      <c r="O231" s="1" t="s">
        <v>59</v>
      </c>
      <c r="P231" s="1" t="s">
        <v>1421</v>
      </c>
    </row>
    <row r="232" spans="1:16" ht="60" customHeight="1" x14ac:dyDescent="0.3">
      <c r="A232" s="1" t="s">
        <v>1464</v>
      </c>
      <c r="B232" s="1" t="s">
        <v>577</v>
      </c>
      <c r="C232" s="1" t="s">
        <v>1315</v>
      </c>
      <c r="D232" s="1" t="s">
        <v>1465</v>
      </c>
      <c r="E232" s="1" t="s">
        <v>1466</v>
      </c>
      <c r="F232" s="6" t="s">
        <v>28</v>
      </c>
      <c r="G232" s="1" t="s">
        <v>1371</v>
      </c>
      <c r="H232" s="7" t="s">
        <v>24</v>
      </c>
      <c r="I232" s="1" t="s">
        <v>1467</v>
      </c>
      <c r="J232" s="1" t="s">
        <v>1468</v>
      </c>
      <c r="K232" s="1" t="s">
        <v>1469</v>
      </c>
      <c r="L232" s="1" t="s">
        <v>1470</v>
      </c>
      <c r="M232" s="8" t="s">
        <v>23</v>
      </c>
      <c r="N232" s="8" t="s">
        <v>59</v>
      </c>
      <c r="O232" s="1" t="s">
        <v>59</v>
      </c>
      <c r="P232" s="1" t="s">
        <v>1376</v>
      </c>
    </row>
    <row r="233" spans="1:16" ht="60" customHeight="1" x14ac:dyDescent="0.3">
      <c r="A233" s="1" t="s">
        <v>1471</v>
      </c>
      <c r="B233" s="1" t="s">
        <v>577</v>
      </c>
      <c r="C233" s="1" t="s">
        <v>1315</v>
      </c>
      <c r="D233" s="1" t="s">
        <v>1472</v>
      </c>
      <c r="E233" s="1" t="s">
        <v>1473</v>
      </c>
      <c r="F233" s="6" t="s">
        <v>25</v>
      </c>
      <c r="G233" s="1" t="s">
        <v>1371</v>
      </c>
      <c r="H233" s="7" t="s">
        <v>24</v>
      </c>
      <c r="I233" s="1" t="s">
        <v>1474</v>
      </c>
      <c r="J233" s="1" t="s">
        <v>1475</v>
      </c>
      <c r="K233" s="1" t="s">
        <v>1476</v>
      </c>
      <c r="L233" s="1" t="s">
        <v>1477</v>
      </c>
      <c r="M233" s="8" t="s">
        <v>23</v>
      </c>
      <c r="N233" s="8" t="s">
        <v>59</v>
      </c>
      <c r="O233" s="1" t="s">
        <v>59</v>
      </c>
      <c r="P233" s="1" t="s">
        <v>1376</v>
      </c>
    </row>
    <row r="234" spans="1:16" ht="60" customHeight="1" x14ac:dyDescent="0.3">
      <c r="A234" s="1" t="s">
        <v>1478</v>
      </c>
      <c r="B234" s="1" t="s">
        <v>577</v>
      </c>
      <c r="C234" s="1" t="s">
        <v>1315</v>
      </c>
      <c r="D234" s="1" t="s">
        <v>1479</v>
      </c>
      <c r="E234" s="1" t="s">
        <v>1480</v>
      </c>
      <c r="F234" s="6" t="s">
        <v>28</v>
      </c>
      <c r="G234" s="1" t="s">
        <v>1371</v>
      </c>
      <c r="H234" s="7" t="s">
        <v>24</v>
      </c>
      <c r="I234" s="1" t="s">
        <v>1481</v>
      </c>
      <c r="J234" s="1" t="s">
        <v>1482</v>
      </c>
      <c r="K234" s="1" t="s">
        <v>1483</v>
      </c>
      <c r="L234" s="1" t="s">
        <v>1484</v>
      </c>
      <c r="M234" s="8" t="s">
        <v>23</v>
      </c>
      <c r="N234" s="8" t="s">
        <v>59</v>
      </c>
      <c r="O234" s="1" t="s">
        <v>59</v>
      </c>
      <c r="P234" s="1" t="s">
        <v>1376</v>
      </c>
    </row>
    <row r="235" spans="1:16" ht="60" customHeight="1" x14ac:dyDescent="0.3">
      <c r="A235" s="1" t="s">
        <v>1485</v>
      </c>
      <c r="B235" s="1" t="s">
        <v>577</v>
      </c>
      <c r="C235" s="1" t="s">
        <v>1315</v>
      </c>
      <c r="D235" s="1" t="s">
        <v>1486</v>
      </c>
      <c r="E235" s="1" t="s">
        <v>1487</v>
      </c>
      <c r="F235" s="6" t="s">
        <v>25</v>
      </c>
      <c r="G235" s="1" t="s">
        <v>1371</v>
      </c>
      <c r="H235" s="7" t="s">
        <v>24</v>
      </c>
      <c r="I235" s="1" t="s">
        <v>1488</v>
      </c>
      <c r="J235" s="1" t="s">
        <v>1489</v>
      </c>
      <c r="K235" s="1" t="s">
        <v>1490</v>
      </c>
      <c r="L235" s="1" t="s">
        <v>1491</v>
      </c>
      <c r="M235" s="8" t="s">
        <v>23</v>
      </c>
      <c r="N235" s="8" t="s">
        <v>59</v>
      </c>
      <c r="O235" s="1" t="s">
        <v>59</v>
      </c>
      <c r="P235" s="1" t="s">
        <v>1376</v>
      </c>
    </row>
    <row r="236" spans="1:16" ht="60" customHeight="1" x14ac:dyDescent="0.3">
      <c r="A236" s="1" t="s">
        <v>1492</v>
      </c>
      <c r="B236" s="1" t="s">
        <v>577</v>
      </c>
      <c r="C236" s="1" t="s">
        <v>1315</v>
      </c>
      <c r="D236" s="1" t="s">
        <v>1493</v>
      </c>
      <c r="E236" s="1" t="s">
        <v>1494</v>
      </c>
      <c r="F236" s="6" t="s">
        <v>28</v>
      </c>
      <c r="G236" s="1" t="s">
        <v>1371</v>
      </c>
      <c r="H236" s="7" t="s">
        <v>24</v>
      </c>
      <c r="I236" s="1" t="s">
        <v>1495</v>
      </c>
      <c r="J236" s="1" t="s">
        <v>1496</v>
      </c>
      <c r="K236" s="1" t="s">
        <v>1497</v>
      </c>
      <c r="L236" s="1" t="s">
        <v>1498</v>
      </c>
      <c r="M236" s="8" t="s">
        <v>23</v>
      </c>
      <c r="N236" s="8" t="s">
        <v>59</v>
      </c>
      <c r="O236" s="1" t="s">
        <v>59</v>
      </c>
      <c r="P236" s="1" t="s">
        <v>1376</v>
      </c>
    </row>
    <row r="237" spans="1:16" ht="60" customHeight="1" x14ac:dyDescent="0.3">
      <c r="A237" s="1" t="s">
        <v>1499</v>
      </c>
      <c r="B237" s="1" t="s">
        <v>577</v>
      </c>
      <c r="C237" s="1" t="s">
        <v>1315</v>
      </c>
      <c r="D237" s="1" t="s">
        <v>1500</v>
      </c>
      <c r="E237" s="1" t="s">
        <v>1501</v>
      </c>
      <c r="F237" s="6" t="s">
        <v>25</v>
      </c>
      <c r="G237" s="1" t="s">
        <v>1371</v>
      </c>
      <c r="H237" s="7" t="s">
        <v>24</v>
      </c>
      <c r="I237" s="1" t="s">
        <v>1502</v>
      </c>
      <c r="J237" s="1" t="s">
        <v>1503</v>
      </c>
      <c r="K237" s="1" t="s">
        <v>1504</v>
      </c>
      <c r="L237" s="1" t="s">
        <v>1505</v>
      </c>
      <c r="M237" s="8" t="s">
        <v>23</v>
      </c>
      <c r="N237" s="8" t="s">
        <v>59</v>
      </c>
      <c r="O237" s="1" t="s">
        <v>59</v>
      </c>
      <c r="P237" s="1" t="s">
        <v>1376</v>
      </c>
    </row>
    <row r="238" spans="1:16" ht="60" customHeight="1" x14ac:dyDescent="0.3">
      <c r="A238" s="1" t="s">
        <v>1506</v>
      </c>
      <c r="B238" s="1" t="s">
        <v>577</v>
      </c>
      <c r="C238" s="1" t="s">
        <v>1315</v>
      </c>
      <c r="D238" s="1" t="s">
        <v>1507</v>
      </c>
      <c r="E238" s="1" t="s">
        <v>1508</v>
      </c>
      <c r="F238" s="6" t="s">
        <v>28</v>
      </c>
      <c r="G238" s="1" t="s">
        <v>1371</v>
      </c>
      <c r="H238" s="7" t="s">
        <v>24</v>
      </c>
      <c r="I238" s="1" t="s">
        <v>1509</v>
      </c>
      <c r="J238" s="1" t="s">
        <v>1510</v>
      </c>
      <c r="K238" s="1" t="s">
        <v>1511</v>
      </c>
      <c r="L238" s="1" t="s">
        <v>1512</v>
      </c>
      <c r="M238" s="8" t="s">
        <v>23</v>
      </c>
      <c r="N238" s="8" t="s">
        <v>59</v>
      </c>
      <c r="O238" s="1" t="s">
        <v>59</v>
      </c>
      <c r="P238" s="1" t="s">
        <v>1376</v>
      </c>
    </row>
    <row r="239" spans="1:16" ht="60" customHeight="1" x14ac:dyDescent="0.3">
      <c r="A239" s="1" t="s">
        <v>1513</v>
      </c>
      <c r="B239" s="1" t="s">
        <v>577</v>
      </c>
      <c r="C239" s="1" t="s">
        <v>1315</v>
      </c>
      <c r="D239" s="1" t="s">
        <v>1514</v>
      </c>
      <c r="E239" s="1" t="s">
        <v>1515</v>
      </c>
      <c r="F239" s="6" t="s">
        <v>25</v>
      </c>
      <c r="G239" s="1" t="s">
        <v>1371</v>
      </c>
      <c r="H239" s="7" t="s">
        <v>24</v>
      </c>
      <c r="I239" s="1" t="s">
        <v>1516</v>
      </c>
      <c r="J239" s="1" t="s">
        <v>1517</v>
      </c>
      <c r="K239" s="1" t="s">
        <v>1518</v>
      </c>
      <c r="L239" s="1" t="s">
        <v>1519</v>
      </c>
      <c r="M239" s="8" t="s">
        <v>23</v>
      </c>
      <c r="N239" s="8" t="s">
        <v>59</v>
      </c>
      <c r="O239" s="1" t="s">
        <v>59</v>
      </c>
      <c r="P239" s="1" t="s">
        <v>1421</v>
      </c>
    </row>
    <row r="240" spans="1:16" ht="60" customHeight="1" x14ac:dyDescent="0.3">
      <c r="A240" s="1" t="s">
        <v>1520</v>
      </c>
      <c r="B240" s="1" t="s">
        <v>577</v>
      </c>
      <c r="C240" s="1" t="s">
        <v>1315</v>
      </c>
      <c r="D240" s="1" t="s">
        <v>1521</v>
      </c>
      <c r="E240" s="1" t="s">
        <v>1522</v>
      </c>
      <c r="F240" s="6" t="s">
        <v>25</v>
      </c>
      <c r="G240" s="1" t="s">
        <v>1371</v>
      </c>
      <c r="H240" s="7" t="s">
        <v>27</v>
      </c>
      <c r="I240" s="1" t="s">
        <v>1523</v>
      </c>
      <c r="J240" s="1" t="s">
        <v>1524</v>
      </c>
      <c r="K240" s="1" t="s">
        <v>1525</v>
      </c>
      <c r="L240" s="1" t="s">
        <v>1526</v>
      </c>
      <c r="M240" s="8" t="s">
        <v>23</v>
      </c>
      <c r="N240" s="8" t="s">
        <v>59</v>
      </c>
      <c r="O240" s="1" t="s">
        <v>59</v>
      </c>
      <c r="P240" s="1" t="s">
        <v>1376</v>
      </c>
    </row>
    <row r="241" spans="1:16" ht="60" customHeight="1" x14ac:dyDescent="0.3">
      <c r="A241" s="1" t="s">
        <v>1527</v>
      </c>
      <c r="B241" s="1" t="s">
        <v>577</v>
      </c>
      <c r="C241" s="1" t="s">
        <v>1315</v>
      </c>
      <c r="D241" s="1" t="s">
        <v>1528</v>
      </c>
      <c r="E241" s="1" t="s">
        <v>1529</v>
      </c>
      <c r="F241" s="6" t="s">
        <v>28</v>
      </c>
      <c r="G241" s="1" t="s">
        <v>1371</v>
      </c>
      <c r="H241" s="7" t="s">
        <v>27</v>
      </c>
      <c r="I241" s="1" t="s">
        <v>1530</v>
      </c>
      <c r="J241" s="1" t="s">
        <v>1531</v>
      </c>
      <c r="K241" s="1" t="s">
        <v>1532</v>
      </c>
      <c r="L241" s="1" t="s">
        <v>1533</v>
      </c>
      <c r="M241" s="8" t="s">
        <v>23</v>
      </c>
      <c r="N241" s="8" t="s">
        <v>59</v>
      </c>
      <c r="O241" s="1" t="s">
        <v>59</v>
      </c>
      <c r="P241" s="1" t="s">
        <v>1376</v>
      </c>
    </row>
    <row r="242" spans="1:16" ht="60" customHeight="1" x14ac:dyDescent="0.3">
      <c r="A242" s="1" t="s">
        <v>1534</v>
      </c>
      <c r="B242" s="1" t="s">
        <v>577</v>
      </c>
      <c r="C242" s="1" t="s">
        <v>1315</v>
      </c>
      <c r="D242" s="1" t="s">
        <v>1535</v>
      </c>
      <c r="E242" s="1" t="s">
        <v>1536</v>
      </c>
      <c r="F242" s="6" t="s">
        <v>30</v>
      </c>
      <c r="G242" s="1" t="s">
        <v>186</v>
      </c>
      <c r="H242" s="7" t="s">
        <v>24</v>
      </c>
      <c r="I242" s="1" t="s">
        <v>1537</v>
      </c>
      <c r="J242" s="1" t="s">
        <v>1538</v>
      </c>
      <c r="K242" s="1" t="s">
        <v>1539</v>
      </c>
      <c r="L242" s="1" t="s">
        <v>1540</v>
      </c>
      <c r="M242" s="8" t="s">
        <v>23</v>
      </c>
      <c r="N242" s="8" t="s">
        <v>59</v>
      </c>
      <c r="O242" s="1" t="s">
        <v>1541</v>
      </c>
      <c r="P242" s="1" t="s">
        <v>1443</v>
      </c>
    </row>
    <row r="243" spans="1:16" ht="60" customHeight="1" x14ac:dyDescent="0.3">
      <c r="A243" s="1" t="s">
        <v>1542</v>
      </c>
      <c r="B243" s="1" t="s">
        <v>577</v>
      </c>
      <c r="C243" s="1" t="s">
        <v>1315</v>
      </c>
      <c r="D243" s="1" t="s">
        <v>1543</v>
      </c>
      <c r="E243" s="1" t="s">
        <v>1544</v>
      </c>
      <c r="F243" s="6" t="s">
        <v>30</v>
      </c>
      <c r="G243" s="1" t="s">
        <v>1545</v>
      </c>
      <c r="H243" s="7" t="s">
        <v>24</v>
      </c>
      <c r="I243" s="1" t="s">
        <v>1546</v>
      </c>
      <c r="J243" s="1" t="s">
        <v>1547</v>
      </c>
      <c r="K243" s="1" t="s">
        <v>1548</v>
      </c>
      <c r="L243" s="1" t="s">
        <v>1549</v>
      </c>
      <c r="M243" s="8" t="s">
        <v>23</v>
      </c>
      <c r="N243" s="8" t="s">
        <v>59</v>
      </c>
      <c r="O243" s="1" t="s">
        <v>59</v>
      </c>
      <c r="P243" s="1" t="s">
        <v>1443</v>
      </c>
    </row>
    <row r="244" spans="1:16" ht="60" customHeight="1" x14ac:dyDescent="0.3">
      <c r="A244" s="1" t="s">
        <v>1550</v>
      </c>
      <c r="B244" s="1" t="s">
        <v>577</v>
      </c>
      <c r="C244" s="1" t="s">
        <v>1315</v>
      </c>
      <c r="D244" s="1" t="s">
        <v>1551</v>
      </c>
      <c r="E244" s="1" t="s">
        <v>1552</v>
      </c>
      <c r="F244" s="6" t="s">
        <v>31</v>
      </c>
      <c r="G244" s="1" t="s">
        <v>1327</v>
      </c>
      <c r="H244" s="7" t="s">
        <v>27</v>
      </c>
      <c r="I244" s="1" t="s">
        <v>1553</v>
      </c>
      <c r="J244" s="1" t="s">
        <v>1554</v>
      </c>
      <c r="K244" s="1" t="s">
        <v>1555</v>
      </c>
      <c r="L244" s="1" t="s">
        <v>1556</v>
      </c>
      <c r="M244" s="8" t="s">
        <v>23</v>
      </c>
      <c r="N244" s="8" t="s">
        <v>59</v>
      </c>
      <c r="O244" s="1" t="s">
        <v>59</v>
      </c>
      <c r="P244" s="1" t="s">
        <v>1332</v>
      </c>
    </row>
    <row r="245" spans="1:16" ht="60" customHeight="1" x14ac:dyDescent="0.3">
      <c r="A245" s="1" t="s">
        <v>1557</v>
      </c>
      <c r="B245" s="1" t="s">
        <v>577</v>
      </c>
      <c r="C245" s="1" t="s">
        <v>1315</v>
      </c>
      <c r="D245" s="1" t="s">
        <v>387</v>
      </c>
      <c r="E245" s="1" t="s">
        <v>1558</v>
      </c>
      <c r="F245" s="6" t="s">
        <v>30</v>
      </c>
      <c r="G245" s="1" t="s">
        <v>1559</v>
      </c>
      <c r="H245" s="7" t="s">
        <v>24</v>
      </c>
      <c r="I245" s="1" t="s">
        <v>1560</v>
      </c>
      <c r="J245" s="1" t="s">
        <v>1561</v>
      </c>
      <c r="K245" s="1" t="s">
        <v>1562</v>
      </c>
      <c r="L245" s="1" t="s">
        <v>1563</v>
      </c>
      <c r="M245" s="8" t="s">
        <v>23</v>
      </c>
      <c r="N245" s="8" t="s">
        <v>59</v>
      </c>
      <c r="O245" s="1" t="s">
        <v>59</v>
      </c>
      <c r="P245" s="1" t="s">
        <v>1332</v>
      </c>
    </row>
    <row r="246" spans="1:16" ht="60" customHeight="1" x14ac:dyDescent="0.3">
      <c r="A246" s="1" t="s">
        <v>1564</v>
      </c>
      <c r="B246" s="1" t="s">
        <v>577</v>
      </c>
      <c r="C246" s="1" t="s">
        <v>1315</v>
      </c>
      <c r="D246" s="1" t="s">
        <v>1565</v>
      </c>
      <c r="E246" s="1" t="s">
        <v>1566</v>
      </c>
      <c r="F246" s="6" t="s">
        <v>31</v>
      </c>
      <c r="G246" s="1" t="s">
        <v>1371</v>
      </c>
      <c r="H246" s="7" t="s">
        <v>27</v>
      </c>
      <c r="I246" s="1" t="s">
        <v>1567</v>
      </c>
      <c r="J246" s="1" t="s">
        <v>1568</v>
      </c>
      <c r="K246" s="1" t="s">
        <v>1569</v>
      </c>
      <c r="L246" s="1" t="s">
        <v>1570</v>
      </c>
      <c r="M246" s="8" t="s">
        <v>23</v>
      </c>
      <c r="N246" s="8" t="s">
        <v>59</v>
      </c>
      <c r="O246" s="1" t="s">
        <v>59</v>
      </c>
      <c r="P246" s="1" t="s">
        <v>1376</v>
      </c>
    </row>
    <row r="247" spans="1:16" ht="60" customHeight="1" x14ac:dyDescent="0.3">
      <c r="A247" s="1" t="s">
        <v>1571</v>
      </c>
      <c r="B247" s="1" t="s">
        <v>577</v>
      </c>
      <c r="C247" s="1" t="s">
        <v>1315</v>
      </c>
      <c r="D247" s="1" t="s">
        <v>1572</v>
      </c>
      <c r="E247" s="1" t="s">
        <v>1573</v>
      </c>
      <c r="F247" s="6" t="s">
        <v>1574</v>
      </c>
      <c r="G247" s="1" t="s">
        <v>1575</v>
      </c>
      <c r="H247" s="7" t="s">
        <v>29</v>
      </c>
      <c r="I247" s="1" t="s">
        <v>1576</v>
      </c>
      <c r="J247" s="1" t="s">
        <v>1577</v>
      </c>
      <c r="K247" s="1" t="s">
        <v>1578</v>
      </c>
      <c r="L247" s="1" t="s">
        <v>1579</v>
      </c>
      <c r="M247" s="8" t="s">
        <v>23</v>
      </c>
      <c r="N247" s="8" t="s">
        <v>59</v>
      </c>
      <c r="O247" s="1" t="s">
        <v>1580</v>
      </c>
      <c r="P247" s="1" t="s">
        <v>161</v>
      </c>
    </row>
  </sheetData>
  <mergeCells count="2">
    <mergeCell ref="A2:H2"/>
    <mergeCell ref="A1:H1"/>
  </mergeCells>
  <pageMargins left="0.7" right="0.7" top="0.75" bottom="0.75" header="0.3" footer="0.3"/>
  <extLst>
    <ext xmlns:x14="http://schemas.microsoft.com/office/spreadsheetml/2009/9/main" uri="{CCE6A557-97BC-4b89-ADB6-D9C93CAAB3DF}">
      <x14:dataValidations xmlns:xm="http://schemas.microsoft.com/office/excel/2006/main" disablePrompts="1" count="3">
        <x14:dataValidation type="list" allowBlank="1" xr:uid="{00000000-0002-0000-0200-000000000000}">
          <x14:formula1>
            <xm:f>Referensi!$A$1:$A$6</xm:f>
          </x14:formula1>
          <xm:sqref>M5:M86</xm:sqref>
        </x14:dataValidation>
        <x14:dataValidation type="list" allowBlank="1" xr:uid="{00000000-0002-0000-0200-000001000000}">
          <x14:formula1>
            <xm:f>Referensi!$B$1:$B$3</xm:f>
          </x14:formula1>
          <xm:sqref>H5:H86</xm:sqref>
        </x14:dataValidation>
        <x14:dataValidation type="list" allowBlank="1" xr:uid="{00000000-0002-0000-0200-000002000000}">
          <x14:formula1>
            <xm:f>Referensi!$C$1:$C$4</xm:f>
          </x14:formula1>
          <xm:sqref>F5:F86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2"/>
  <sheetViews>
    <sheetView showGridLines="0" workbookViewId="0"/>
  </sheetViews>
  <sheetFormatPr defaultRowHeight="14.4" x14ac:dyDescent="0.3"/>
  <cols>
    <col min="1" max="1" width="28" customWidth="1"/>
    <col min="2" max="2" width="20" customWidth="1"/>
    <col min="3" max="9" width="10" customWidth="1"/>
    <col min="10" max="10" width="12" customWidth="1"/>
    <col min="12" max="12" width="26" customWidth="1"/>
    <col min="13" max="14" width="10" customWidth="1"/>
    <col min="15" max="15" width="12" customWidth="1"/>
    <col min="16" max="16" width="10" customWidth="1"/>
  </cols>
  <sheetData>
    <row r="1" spans="1:16" ht="24" customHeight="1" x14ac:dyDescent="0.3">
      <c r="A1" s="17" t="s">
        <v>1581</v>
      </c>
      <c r="B1" s="16"/>
      <c r="C1" s="16"/>
      <c r="D1" s="16"/>
      <c r="E1" s="16"/>
      <c r="F1" s="16"/>
      <c r="G1" s="16"/>
      <c r="H1" s="16"/>
    </row>
    <row r="2" spans="1:16" ht="36" customHeight="1" x14ac:dyDescent="0.3">
      <c r="A2" s="15" t="s">
        <v>1582</v>
      </c>
      <c r="B2" s="16"/>
      <c r="C2" s="16"/>
      <c r="D2" s="16"/>
      <c r="E2" s="16"/>
      <c r="F2" s="16"/>
      <c r="G2" s="16"/>
      <c r="H2" s="16"/>
    </row>
    <row r="4" spans="1:16" x14ac:dyDescent="0.3">
      <c r="A4" s="5" t="s">
        <v>37</v>
      </c>
      <c r="B4" s="5" t="s">
        <v>1583</v>
      </c>
      <c r="C4" s="5" t="s">
        <v>1584</v>
      </c>
      <c r="D4" s="5" t="s">
        <v>24</v>
      </c>
      <c r="E4" s="5" t="s">
        <v>27</v>
      </c>
      <c r="F4" s="5" t="s">
        <v>29</v>
      </c>
      <c r="G4" s="5" t="s">
        <v>16</v>
      </c>
      <c r="H4" s="5" t="s">
        <v>19</v>
      </c>
      <c r="I4" s="5" t="s">
        <v>22</v>
      </c>
      <c r="J4" s="5" t="s">
        <v>23</v>
      </c>
      <c r="L4" s="19" t="s">
        <v>1585</v>
      </c>
      <c r="M4" s="20"/>
      <c r="N4" s="20"/>
      <c r="O4" s="20"/>
      <c r="P4" s="21"/>
    </row>
    <row r="5" spans="1:16" x14ac:dyDescent="0.3">
      <c r="A5" s="1" t="s">
        <v>51</v>
      </c>
      <c r="B5" s="1" t="s">
        <v>50</v>
      </c>
      <c r="C5" s="1">
        <f>COUNTIF(Semua_Skenario!$C:$C,A5)</f>
        <v>17</v>
      </c>
      <c r="D5" s="1">
        <f>COUNTIFS(Semua_Skenario!$C:$C,A5,Semua_Skenario!$H:$H,"High")</f>
        <v>14</v>
      </c>
      <c r="E5" s="1">
        <f>COUNTIFS(Semua_Skenario!$C:$C,A5,Semua_Skenario!$H:$H,"Medium")</f>
        <v>3</v>
      </c>
      <c r="F5" s="1">
        <f>COUNTIFS(Semua_Skenario!$C:$C,A5,Semua_Skenario!$H:$H,"Low")</f>
        <v>0</v>
      </c>
      <c r="G5" s="1">
        <f>COUNTIFS(Semua_Skenario!$C:$C,A5,Semua_Skenario!$M:$M,"Pass")</f>
        <v>0</v>
      </c>
      <c r="H5" s="1">
        <f>COUNTIFS(Semua_Skenario!$C:$C,A5,Semua_Skenario!$M:$M,"Fail")</f>
        <v>0</v>
      </c>
      <c r="I5" s="1">
        <f>COUNTIFS(Semua_Skenario!$C:$C,A5,Semua_Skenario!$M:$M,"Blocked")</f>
        <v>0</v>
      </c>
      <c r="J5" s="1">
        <f>COUNTIFS(Semua_Skenario!$C:$C,A5,Semua_Skenario!$M:$M,"Not Started")</f>
        <v>17</v>
      </c>
      <c r="L5" s="5" t="s">
        <v>1586</v>
      </c>
      <c r="M5" s="5" t="s">
        <v>1587</v>
      </c>
      <c r="N5" s="5" t="s">
        <v>24</v>
      </c>
      <c r="O5" s="5" t="s">
        <v>23</v>
      </c>
      <c r="P5" s="5" t="s">
        <v>16</v>
      </c>
    </row>
    <row r="6" spans="1:16" x14ac:dyDescent="0.3">
      <c r="A6" s="1" t="s">
        <v>170</v>
      </c>
      <c r="B6" s="1" t="s">
        <v>169</v>
      </c>
      <c r="C6" s="1">
        <f>COUNTIF(Semua_Skenario!$C:$C,A6)</f>
        <v>25</v>
      </c>
      <c r="D6" s="1">
        <f>COUNTIFS(Semua_Skenario!$C:$C,A6,Semua_Skenario!$H:$H,"High")</f>
        <v>15</v>
      </c>
      <c r="E6" s="1">
        <f>COUNTIFS(Semua_Skenario!$C:$C,A6,Semua_Skenario!$H:$H,"Medium")</f>
        <v>10</v>
      </c>
      <c r="F6" s="1">
        <f>COUNTIFS(Semua_Skenario!$C:$C,A6,Semua_Skenario!$H:$H,"Low")</f>
        <v>0</v>
      </c>
      <c r="G6" s="1">
        <f>COUNTIFS(Semua_Skenario!$C:$C,A6,Semua_Skenario!$M:$M,"Pass")</f>
        <v>0</v>
      </c>
      <c r="H6" s="1">
        <f>COUNTIFS(Semua_Skenario!$C:$C,A6,Semua_Skenario!$M:$M,"Fail")</f>
        <v>0</v>
      </c>
      <c r="I6" s="1">
        <f>COUNTIFS(Semua_Skenario!$C:$C,A6,Semua_Skenario!$M:$M,"Blocked")</f>
        <v>0</v>
      </c>
      <c r="J6" s="1">
        <f>COUNTIFS(Semua_Skenario!$C:$C,A6,Semua_Skenario!$M:$M,"Not Started")</f>
        <v>25</v>
      </c>
      <c r="L6" s="11" t="s">
        <v>54</v>
      </c>
      <c r="M6" s="12">
        <f>COUNTIF(Alur_Per_Role!$B:$B,L6)</f>
        <v>3</v>
      </c>
      <c r="N6" s="12">
        <f>COUNTIFS(Alur_Per_Role!$B:$B,L6,Alur_Per_Role!$L:$L,"High")</f>
        <v>3</v>
      </c>
      <c r="O6" s="12">
        <f>COUNTIFS(Alur_Per_Role!$B:$B,L6,Alur_Per_Role!$M:$M,"Not Started")</f>
        <v>3</v>
      </c>
      <c r="P6" s="12">
        <f>COUNTIFS(Alur_Per_Role!$B:$B,L6,Alur_Per_Role!$M:$M,"Pass")</f>
        <v>0</v>
      </c>
    </row>
    <row r="7" spans="1:16" x14ac:dyDescent="0.3">
      <c r="A7" s="1" t="s">
        <v>321</v>
      </c>
      <c r="B7" s="1" t="s">
        <v>169</v>
      </c>
      <c r="C7" s="1">
        <f>COUNTIF(Semua_Skenario!$C:$C,A7)</f>
        <v>12</v>
      </c>
      <c r="D7" s="1">
        <f>COUNTIFS(Semua_Skenario!$C:$C,A7,Semua_Skenario!$H:$H,"High")</f>
        <v>8</v>
      </c>
      <c r="E7" s="1">
        <f>COUNTIFS(Semua_Skenario!$C:$C,A7,Semua_Skenario!$H:$H,"Medium")</f>
        <v>4</v>
      </c>
      <c r="F7" s="1">
        <f>COUNTIFS(Semua_Skenario!$C:$C,A7,Semua_Skenario!$H:$H,"Low")</f>
        <v>0</v>
      </c>
      <c r="G7" s="1">
        <f>COUNTIFS(Semua_Skenario!$C:$C,A7,Semua_Skenario!$M:$M,"Pass")</f>
        <v>0</v>
      </c>
      <c r="H7" s="1">
        <f>COUNTIFS(Semua_Skenario!$C:$C,A7,Semua_Skenario!$M:$M,"Fail")</f>
        <v>0</v>
      </c>
      <c r="I7" s="1">
        <f>COUNTIFS(Semua_Skenario!$C:$C,A7,Semua_Skenario!$M:$M,"Blocked")</f>
        <v>0</v>
      </c>
      <c r="J7" s="1">
        <f>COUNTIFS(Semua_Skenario!$C:$C,A7,Semua_Skenario!$M:$M,"Not Started")</f>
        <v>12</v>
      </c>
      <c r="L7" s="11" t="s">
        <v>1588</v>
      </c>
      <c r="M7" s="12">
        <f>COUNTIF(Alur_Per_Role!$B:$B,L7)</f>
        <v>2</v>
      </c>
      <c r="N7" s="12">
        <f>COUNTIFS(Alur_Per_Role!$B:$B,L7,Alur_Per_Role!$L:$L,"High")</f>
        <v>2</v>
      </c>
      <c r="O7" s="12">
        <f>COUNTIFS(Alur_Per_Role!$B:$B,L7,Alur_Per_Role!$M:$M,"Not Started")</f>
        <v>2</v>
      </c>
      <c r="P7" s="12">
        <f>COUNTIFS(Alur_Per_Role!$B:$B,L7,Alur_Per_Role!$M:$M,"Pass")</f>
        <v>0</v>
      </c>
    </row>
    <row r="8" spans="1:16" x14ac:dyDescent="0.3">
      <c r="A8" s="1" t="s">
        <v>395</v>
      </c>
      <c r="B8" s="1" t="s">
        <v>394</v>
      </c>
      <c r="C8" s="1">
        <f>COUNTIF(Semua_Skenario!$C:$C,A8)</f>
        <v>12</v>
      </c>
      <c r="D8" s="1">
        <f>COUNTIFS(Semua_Skenario!$C:$C,A8,Semua_Skenario!$H:$H,"High")</f>
        <v>8</v>
      </c>
      <c r="E8" s="1">
        <f>COUNTIFS(Semua_Skenario!$C:$C,A8,Semua_Skenario!$H:$H,"Medium")</f>
        <v>4</v>
      </c>
      <c r="F8" s="1">
        <f>COUNTIFS(Semua_Skenario!$C:$C,A8,Semua_Skenario!$H:$H,"Low")</f>
        <v>0</v>
      </c>
      <c r="G8" s="1">
        <f>COUNTIFS(Semua_Skenario!$C:$C,A8,Semua_Skenario!$M:$M,"Pass")</f>
        <v>0</v>
      </c>
      <c r="H8" s="1">
        <f>COUNTIFS(Semua_Skenario!$C:$C,A8,Semua_Skenario!$M:$M,"Fail")</f>
        <v>0</v>
      </c>
      <c r="I8" s="1">
        <f>COUNTIFS(Semua_Skenario!$C:$C,A8,Semua_Skenario!$M:$M,"Blocked")</f>
        <v>0</v>
      </c>
      <c r="J8" s="1">
        <f>COUNTIFS(Semua_Skenario!$C:$C,A8,Semua_Skenario!$M:$M,"Not Started")</f>
        <v>12</v>
      </c>
      <c r="L8" s="11" t="s">
        <v>1255</v>
      </c>
      <c r="M8" s="12">
        <f>COUNTIF(Alur_Per_Role!$B:$B,L8)</f>
        <v>4</v>
      </c>
      <c r="N8" s="12">
        <f>COUNTIFS(Alur_Per_Role!$B:$B,L8,Alur_Per_Role!$L:$L,"High")</f>
        <v>4</v>
      </c>
      <c r="O8" s="12">
        <f>COUNTIFS(Alur_Per_Role!$B:$B,L8,Alur_Per_Role!$M:$M,"Not Started")</f>
        <v>4</v>
      </c>
      <c r="P8" s="12">
        <f>COUNTIFS(Alur_Per_Role!$B:$B,L8,Alur_Per_Role!$M:$M,"Pass")</f>
        <v>0</v>
      </c>
    </row>
    <row r="9" spans="1:16" x14ac:dyDescent="0.3">
      <c r="A9" s="1" t="s">
        <v>467</v>
      </c>
      <c r="B9" s="1" t="s">
        <v>394</v>
      </c>
      <c r="C9" s="1">
        <f>COUNTIF(Semua_Skenario!$C:$C,A9)</f>
        <v>10</v>
      </c>
      <c r="D9" s="1">
        <f>COUNTIFS(Semua_Skenario!$C:$C,A9,Semua_Skenario!$H:$H,"High")</f>
        <v>4</v>
      </c>
      <c r="E9" s="1">
        <f>COUNTIFS(Semua_Skenario!$C:$C,A9,Semua_Skenario!$H:$H,"Medium")</f>
        <v>5</v>
      </c>
      <c r="F9" s="1">
        <f>COUNTIFS(Semua_Skenario!$C:$C,A9,Semua_Skenario!$H:$H,"Low")</f>
        <v>1</v>
      </c>
      <c r="G9" s="1">
        <f>COUNTIFS(Semua_Skenario!$C:$C,A9,Semua_Skenario!$M:$M,"Pass")</f>
        <v>0</v>
      </c>
      <c r="H9" s="1">
        <f>COUNTIFS(Semua_Skenario!$C:$C,A9,Semua_Skenario!$M:$M,"Fail")</f>
        <v>0</v>
      </c>
      <c r="I9" s="1">
        <f>COUNTIFS(Semua_Skenario!$C:$C,A9,Semua_Skenario!$M:$M,"Blocked")</f>
        <v>0</v>
      </c>
      <c r="J9" s="1">
        <f>COUNTIFS(Semua_Skenario!$C:$C,A9,Semua_Skenario!$M:$M,"Not Started")</f>
        <v>10</v>
      </c>
      <c r="L9" s="11" t="s">
        <v>416</v>
      </c>
      <c r="M9" s="12">
        <f>COUNTIF(Alur_Per_Role!$B:$B,L9)</f>
        <v>24</v>
      </c>
      <c r="N9" s="12">
        <f>COUNTIFS(Alur_Per_Role!$B:$B,L9,Alur_Per_Role!$L:$L,"High")</f>
        <v>23</v>
      </c>
      <c r="O9" s="12">
        <f>COUNTIFS(Alur_Per_Role!$B:$B,L9,Alur_Per_Role!$M:$M,"Not Started")</f>
        <v>24</v>
      </c>
      <c r="P9" s="12">
        <f>COUNTIFS(Alur_Per_Role!$B:$B,L9,Alur_Per_Role!$M:$M,"Pass")</f>
        <v>0</v>
      </c>
    </row>
    <row r="10" spans="1:16" x14ac:dyDescent="0.3">
      <c r="A10" s="1" t="s">
        <v>530</v>
      </c>
      <c r="B10" s="1" t="s">
        <v>394</v>
      </c>
      <c r="C10" s="1">
        <f>COUNTIF(Semua_Skenario!$C:$C,A10)</f>
        <v>8</v>
      </c>
      <c r="D10" s="1">
        <f>COUNTIFS(Semua_Skenario!$C:$C,A10,Semua_Skenario!$H:$H,"High")</f>
        <v>4</v>
      </c>
      <c r="E10" s="1">
        <f>COUNTIFS(Semua_Skenario!$C:$C,A10,Semua_Skenario!$H:$H,"Medium")</f>
        <v>4</v>
      </c>
      <c r="F10" s="1">
        <f>COUNTIFS(Semua_Skenario!$C:$C,A10,Semua_Skenario!$H:$H,"Low")</f>
        <v>0</v>
      </c>
      <c r="G10" s="1">
        <f>COUNTIFS(Semua_Skenario!$C:$C,A10,Semua_Skenario!$M:$M,"Pass")</f>
        <v>0</v>
      </c>
      <c r="H10" s="1">
        <f>COUNTIFS(Semua_Skenario!$C:$C,A10,Semua_Skenario!$M:$M,"Fail")</f>
        <v>0</v>
      </c>
      <c r="I10" s="1">
        <f>COUNTIFS(Semua_Skenario!$C:$C,A10,Semua_Skenario!$M:$M,"Blocked")</f>
        <v>0</v>
      </c>
      <c r="J10" s="1">
        <f>COUNTIFS(Semua_Skenario!$C:$C,A10,Semua_Skenario!$M:$M,"Not Started")</f>
        <v>8</v>
      </c>
      <c r="L10" s="11" t="s">
        <v>1589</v>
      </c>
      <c r="M10" s="12">
        <f>COUNTIF(Alur_Per_Role!$B:$B,L10)</f>
        <v>22</v>
      </c>
      <c r="N10" s="12">
        <f>COUNTIFS(Alur_Per_Role!$B:$B,L10,Alur_Per_Role!$L:$L,"High")</f>
        <v>11</v>
      </c>
      <c r="O10" s="12">
        <f>COUNTIFS(Alur_Per_Role!$B:$B,L10,Alur_Per_Role!$M:$M,"Not Started")</f>
        <v>22</v>
      </c>
      <c r="P10" s="12">
        <f>COUNTIFS(Alur_Per_Role!$B:$B,L10,Alur_Per_Role!$M:$M,"Pass")</f>
        <v>0</v>
      </c>
    </row>
    <row r="11" spans="1:16" ht="28.8" x14ac:dyDescent="0.3">
      <c r="A11" s="1" t="s">
        <v>578</v>
      </c>
      <c r="B11" s="1" t="s">
        <v>577</v>
      </c>
      <c r="C11" s="1">
        <f>COUNTIF(Semua_Skenario!$C:$C,A11)</f>
        <v>12</v>
      </c>
      <c r="D11" s="1">
        <f>COUNTIFS(Semua_Skenario!$C:$C,A11,Semua_Skenario!$H:$H,"High")</f>
        <v>6</v>
      </c>
      <c r="E11" s="1">
        <f>COUNTIFS(Semua_Skenario!$C:$C,A11,Semua_Skenario!$H:$H,"Medium")</f>
        <v>4</v>
      </c>
      <c r="F11" s="1">
        <f>COUNTIFS(Semua_Skenario!$C:$C,A11,Semua_Skenario!$H:$H,"Low")</f>
        <v>2</v>
      </c>
      <c r="G11" s="1">
        <f>COUNTIFS(Semua_Skenario!$C:$C,A11,Semua_Skenario!$M:$M,"Pass")</f>
        <v>0</v>
      </c>
      <c r="H11" s="1">
        <f>COUNTIFS(Semua_Skenario!$C:$C,A11,Semua_Skenario!$M:$M,"Fail")</f>
        <v>0</v>
      </c>
      <c r="I11" s="1">
        <f>COUNTIFS(Semua_Skenario!$C:$C,A11,Semua_Skenario!$M:$M,"Blocked")</f>
        <v>0</v>
      </c>
      <c r="J11" s="1">
        <f>COUNTIFS(Semua_Skenario!$C:$C,A11,Semua_Skenario!$M:$M,"Not Started")</f>
        <v>12</v>
      </c>
      <c r="L11" s="11" t="s">
        <v>1590</v>
      </c>
      <c r="M11" s="12">
        <f>COUNTIF(Alur_Per_Role!$B:$B,L11)</f>
        <v>8</v>
      </c>
      <c r="N11" s="12">
        <f>COUNTIFS(Alur_Per_Role!$B:$B,L11,Alur_Per_Role!$L:$L,"High")</f>
        <v>8</v>
      </c>
      <c r="O11" s="12">
        <f>COUNTIFS(Alur_Per_Role!$B:$B,L11,Alur_Per_Role!$M:$M,"Not Started")</f>
        <v>8</v>
      </c>
      <c r="P11" s="12">
        <f>COUNTIFS(Alur_Per_Role!$B:$B,L11,Alur_Per_Role!$M:$M,"Pass")</f>
        <v>0</v>
      </c>
    </row>
    <row r="12" spans="1:16" x14ac:dyDescent="0.3">
      <c r="A12" s="1" t="s">
        <v>647</v>
      </c>
      <c r="B12" s="1" t="s">
        <v>646</v>
      </c>
      <c r="C12" s="1">
        <f>COUNTIF(Semua_Skenario!$C:$C,A12)</f>
        <v>10</v>
      </c>
      <c r="D12" s="1">
        <f>COUNTIFS(Semua_Skenario!$C:$C,A12,Semua_Skenario!$H:$H,"High")</f>
        <v>5</v>
      </c>
      <c r="E12" s="1">
        <f>COUNTIFS(Semua_Skenario!$C:$C,A12,Semua_Skenario!$H:$H,"Medium")</f>
        <v>5</v>
      </c>
      <c r="F12" s="1">
        <f>COUNTIFS(Semua_Skenario!$C:$C,A12,Semua_Skenario!$H:$H,"Low")</f>
        <v>0</v>
      </c>
      <c r="G12" s="1">
        <f>COUNTIFS(Semua_Skenario!$C:$C,A12,Semua_Skenario!$M:$M,"Pass")</f>
        <v>0</v>
      </c>
      <c r="H12" s="1">
        <f>COUNTIFS(Semua_Skenario!$C:$C,A12,Semua_Skenario!$M:$M,"Fail")</f>
        <v>0</v>
      </c>
      <c r="I12" s="1">
        <f>COUNTIFS(Semua_Skenario!$C:$C,A12,Semua_Skenario!$M:$M,"Blocked")</f>
        <v>0</v>
      </c>
      <c r="J12" s="1">
        <f>COUNTIFS(Semua_Skenario!$C:$C,A12,Semua_Skenario!$M:$M,"Not Started")</f>
        <v>10</v>
      </c>
      <c r="L12" s="11" t="s">
        <v>1591</v>
      </c>
      <c r="M12" s="12">
        <f>COUNTIF(Alur_Per_Role!$B:$B,L12)</f>
        <v>6</v>
      </c>
      <c r="N12" s="12">
        <f>COUNTIFS(Alur_Per_Role!$B:$B,L12,Alur_Per_Role!$L:$L,"High")</f>
        <v>3</v>
      </c>
      <c r="O12" s="12">
        <f>COUNTIFS(Alur_Per_Role!$B:$B,L12,Alur_Per_Role!$M:$M,"Not Started")</f>
        <v>6</v>
      </c>
      <c r="P12" s="12">
        <f>COUNTIFS(Alur_Per_Role!$B:$B,L12,Alur_Per_Role!$M:$M,"Pass")</f>
        <v>0</v>
      </c>
    </row>
    <row r="13" spans="1:16" x14ac:dyDescent="0.3">
      <c r="A13" s="1" t="s">
        <v>707</v>
      </c>
      <c r="B13" s="1" t="s">
        <v>646</v>
      </c>
      <c r="C13" s="1">
        <f>COUNTIF(Semua_Skenario!$C:$C,A13)</f>
        <v>12</v>
      </c>
      <c r="D13" s="1">
        <f>COUNTIFS(Semua_Skenario!$C:$C,A13,Semua_Skenario!$H:$H,"High")</f>
        <v>5</v>
      </c>
      <c r="E13" s="1">
        <f>COUNTIFS(Semua_Skenario!$C:$C,A13,Semua_Skenario!$H:$H,"Medium")</f>
        <v>7</v>
      </c>
      <c r="F13" s="1">
        <f>COUNTIFS(Semua_Skenario!$C:$C,A13,Semua_Skenario!$H:$H,"Low")</f>
        <v>0</v>
      </c>
      <c r="G13" s="1">
        <f>COUNTIFS(Semua_Skenario!$C:$C,A13,Semua_Skenario!$M:$M,"Pass")</f>
        <v>0</v>
      </c>
      <c r="H13" s="1">
        <f>COUNTIFS(Semua_Skenario!$C:$C,A13,Semua_Skenario!$M:$M,"Fail")</f>
        <v>0</v>
      </c>
      <c r="I13" s="1">
        <f>COUNTIFS(Semua_Skenario!$C:$C,A13,Semua_Skenario!$M:$M,"Blocked")</f>
        <v>0</v>
      </c>
      <c r="J13" s="1">
        <f>COUNTIFS(Semua_Skenario!$C:$C,A13,Semua_Skenario!$M:$M,"Not Started")</f>
        <v>12</v>
      </c>
      <c r="L13" s="11" t="s">
        <v>186</v>
      </c>
      <c r="M13" s="12">
        <f>COUNTIF(Alur_Per_Role!$B:$B,L13)</f>
        <v>7</v>
      </c>
      <c r="N13" s="12">
        <f>COUNTIFS(Alur_Per_Role!$B:$B,L13,Alur_Per_Role!$L:$L,"High")</f>
        <v>3</v>
      </c>
      <c r="O13" s="12">
        <f>COUNTIFS(Alur_Per_Role!$B:$B,L13,Alur_Per_Role!$M:$M,"Not Started")</f>
        <v>7</v>
      </c>
      <c r="P13" s="12">
        <f>COUNTIFS(Alur_Per_Role!$B:$B,L13,Alur_Per_Role!$M:$M,"Pass")</f>
        <v>0</v>
      </c>
    </row>
    <row r="14" spans="1:16" x14ac:dyDescent="0.3">
      <c r="A14" s="1" t="s">
        <v>779</v>
      </c>
      <c r="B14" s="1" t="s">
        <v>646</v>
      </c>
      <c r="C14" s="1">
        <f>COUNTIF(Semua_Skenario!$C:$C,A14)</f>
        <v>12</v>
      </c>
      <c r="D14" s="1">
        <f>COUNTIFS(Semua_Skenario!$C:$C,A14,Semua_Skenario!$H:$H,"High")</f>
        <v>7</v>
      </c>
      <c r="E14" s="1">
        <f>COUNTIFS(Semua_Skenario!$C:$C,A14,Semua_Skenario!$H:$H,"Medium")</f>
        <v>5</v>
      </c>
      <c r="F14" s="1">
        <f>COUNTIFS(Semua_Skenario!$C:$C,A14,Semua_Skenario!$H:$H,"Low")</f>
        <v>0</v>
      </c>
      <c r="G14" s="1">
        <f>COUNTIFS(Semua_Skenario!$C:$C,A14,Semua_Skenario!$M:$M,"Pass")</f>
        <v>0</v>
      </c>
      <c r="H14" s="1">
        <f>COUNTIFS(Semua_Skenario!$C:$C,A14,Semua_Skenario!$M:$M,"Fail")</f>
        <v>0</v>
      </c>
      <c r="I14" s="1">
        <f>COUNTIFS(Semua_Skenario!$C:$C,A14,Semua_Skenario!$M:$M,"Blocked")</f>
        <v>0</v>
      </c>
      <c r="J14" s="1">
        <f>COUNTIFS(Semua_Skenario!$C:$C,A14,Semua_Skenario!$M:$M,"Not Started")</f>
        <v>12</v>
      </c>
      <c r="L14" s="11" t="s">
        <v>1545</v>
      </c>
      <c r="M14" s="12">
        <f>COUNTIF(Alur_Per_Role!$B:$B,L14)</f>
        <v>1</v>
      </c>
      <c r="N14" s="12">
        <f>COUNTIFS(Alur_Per_Role!$B:$B,L14,Alur_Per_Role!$L:$L,"High")</f>
        <v>0</v>
      </c>
      <c r="O14" s="12">
        <f>COUNTIFS(Alur_Per_Role!$B:$B,L14,Alur_Per_Role!$M:$M,"Not Started")</f>
        <v>1</v>
      </c>
      <c r="P14" s="12">
        <f>COUNTIFS(Alur_Per_Role!$B:$B,L14,Alur_Per_Role!$M:$M,"Pass")</f>
        <v>0</v>
      </c>
    </row>
    <row r="15" spans="1:16" x14ac:dyDescent="0.3">
      <c r="A15" s="1" t="s">
        <v>851</v>
      </c>
      <c r="B15" s="1" t="s">
        <v>646</v>
      </c>
      <c r="C15" s="1">
        <f>COUNTIF(Semua_Skenario!$C:$C,A15)</f>
        <v>10</v>
      </c>
      <c r="D15" s="1">
        <f>COUNTIFS(Semua_Skenario!$C:$C,A15,Semua_Skenario!$H:$H,"High")</f>
        <v>7</v>
      </c>
      <c r="E15" s="1">
        <f>COUNTIFS(Semua_Skenario!$C:$C,A15,Semua_Skenario!$H:$H,"Medium")</f>
        <v>3</v>
      </c>
      <c r="F15" s="1">
        <f>COUNTIFS(Semua_Skenario!$C:$C,A15,Semua_Skenario!$H:$H,"Low")</f>
        <v>0</v>
      </c>
      <c r="G15" s="1">
        <f>COUNTIFS(Semua_Skenario!$C:$C,A15,Semua_Skenario!$M:$M,"Pass")</f>
        <v>0</v>
      </c>
      <c r="H15" s="1">
        <f>COUNTIFS(Semua_Skenario!$C:$C,A15,Semua_Skenario!$M:$M,"Fail")</f>
        <v>0</v>
      </c>
      <c r="I15" s="1">
        <f>COUNTIFS(Semua_Skenario!$C:$C,A15,Semua_Skenario!$M:$M,"Blocked")</f>
        <v>0</v>
      </c>
      <c r="J15" s="1">
        <f>COUNTIFS(Semua_Skenario!$C:$C,A15,Semua_Skenario!$M:$M,"Not Started")</f>
        <v>10</v>
      </c>
      <c r="L15" s="11" t="s">
        <v>1592</v>
      </c>
      <c r="M15" s="12">
        <f>COUNTIF(Alur_Per_Role!$B:$B,L15)</f>
        <v>0</v>
      </c>
      <c r="N15" s="12">
        <f>COUNTIFS(Alur_Per_Role!$B:$B,L15,Alur_Per_Role!$L:$L,"High")</f>
        <v>0</v>
      </c>
      <c r="O15" s="12">
        <f>COUNTIFS(Alur_Per_Role!$B:$B,L15,Alur_Per_Role!$M:$M,"Not Started")</f>
        <v>0</v>
      </c>
      <c r="P15" s="12">
        <f>COUNTIFS(Alur_Per_Role!$B:$B,L15,Alur_Per_Role!$M:$M,"Pass")</f>
        <v>0</v>
      </c>
    </row>
    <row r="16" spans="1:16" ht="28.8" x14ac:dyDescent="0.3">
      <c r="A16" s="1" t="s">
        <v>913</v>
      </c>
      <c r="B16" s="1" t="s">
        <v>577</v>
      </c>
      <c r="C16" s="1">
        <f>COUNTIF(Semua_Skenario!$C:$C,A16)</f>
        <v>12</v>
      </c>
      <c r="D16" s="1">
        <f>COUNTIFS(Semua_Skenario!$C:$C,A16,Semua_Skenario!$H:$H,"High")</f>
        <v>5</v>
      </c>
      <c r="E16" s="1">
        <f>COUNTIFS(Semua_Skenario!$C:$C,A16,Semua_Skenario!$H:$H,"Medium")</f>
        <v>7</v>
      </c>
      <c r="F16" s="1">
        <f>COUNTIFS(Semua_Skenario!$C:$C,A16,Semua_Skenario!$H:$H,"Low")</f>
        <v>0</v>
      </c>
      <c r="G16" s="1">
        <f>COUNTIFS(Semua_Skenario!$C:$C,A16,Semua_Skenario!$M:$M,"Pass")</f>
        <v>0</v>
      </c>
      <c r="H16" s="1">
        <f>COUNTIFS(Semua_Skenario!$C:$C,A16,Semua_Skenario!$M:$M,"Fail")</f>
        <v>0</v>
      </c>
      <c r="I16" s="1">
        <f>COUNTIFS(Semua_Skenario!$C:$C,A16,Semua_Skenario!$M:$M,"Blocked")</f>
        <v>0</v>
      </c>
      <c r="J16" s="1">
        <f>COUNTIFS(Semua_Skenario!$C:$C,A16,Semua_Skenario!$M:$M,"Not Started")</f>
        <v>12</v>
      </c>
      <c r="L16" s="11" t="s">
        <v>1593</v>
      </c>
      <c r="M16" s="12">
        <f>COUNTIF(Alur_Per_Role!$B:$B,L16)</f>
        <v>0</v>
      </c>
      <c r="N16" s="12">
        <f>COUNTIFS(Alur_Per_Role!$B:$B,L16,Alur_Per_Role!$L:$L,"High")</f>
        <v>0</v>
      </c>
      <c r="O16" s="12">
        <f>COUNTIFS(Alur_Per_Role!$B:$B,L16,Alur_Per_Role!$M:$M,"Not Started")</f>
        <v>0</v>
      </c>
      <c r="P16" s="12">
        <f>COUNTIFS(Alur_Per_Role!$B:$B,L16,Alur_Per_Role!$M:$M,"Pass")</f>
        <v>0</v>
      </c>
    </row>
    <row r="17" spans="1:10" ht="28.8" x14ac:dyDescent="0.3">
      <c r="A17" s="1" t="s">
        <v>987</v>
      </c>
      <c r="B17" s="1" t="s">
        <v>577</v>
      </c>
      <c r="C17" s="1">
        <f>COUNTIF(Semua_Skenario!$C:$C,A17)</f>
        <v>12</v>
      </c>
      <c r="D17" s="1">
        <f>COUNTIFS(Semua_Skenario!$C:$C,A17,Semua_Skenario!$H:$H,"High")</f>
        <v>7</v>
      </c>
      <c r="E17" s="1">
        <f>COUNTIFS(Semua_Skenario!$C:$C,A17,Semua_Skenario!$H:$H,"Medium")</f>
        <v>5</v>
      </c>
      <c r="F17" s="1">
        <f>COUNTIFS(Semua_Skenario!$C:$C,A17,Semua_Skenario!$H:$H,"Low")</f>
        <v>0</v>
      </c>
      <c r="G17" s="1">
        <f>COUNTIFS(Semua_Skenario!$C:$C,A17,Semua_Skenario!$M:$M,"Pass")</f>
        <v>0</v>
      </c>
      <c r="H17" s="1">
        <f>COUNTIFS(Semua_Skenario!$C:$C,A17,Semua_Skenario!$M:$M,"Fail")</f>
        <v>0</v>
      </c>
      <c r="I17" s="1">
        <f>COUNTIFS(Semua_Skenario!$C:$C,A17,Semua_Skenario!$M:$M,"Blocked")</f>
        <v>0</v>
      </c>
      <c r="J17" s="1">
        <f>COUNTIFS(Semua_Skenario!$C:$C,A17,Semua_Skenario!$M:$M,"Not Started")</f>
        <v>12</v>
      </c>
    </row>
    <row r="18" spans="1:10" ht="28.8" x14ac:dyDescent="0.3">
      <c r="A18" s="1" t="s">
        <v>1057</v>
      </c>
      <c r="B18" s="1" t="s">
        <v>577</v>
      </c>
      <c r="C18" s="1">
        <f>COUNTIF(Semua_Skenario!$C:$C,A18)</f>
        <v>12</v>
      </c>
      <c r="D18" s="1">
        <f>COUNTIFS(Semua_Skenario!$C:$C,A18,Semua_Skenario!$H:$H,"High")</f>
        <v>6</v>
      </c>
      <c r="E18" s="1">
        <f>COUNTIFS(Semua_Skenario!$C:$C,A18,Semua_Skenario!$H:$H,"Medium")</f>
        <v>6</v>
      </c>
      <c r="F18" s="1">
        <f>COUNTIFS(Semua_Skenario!$C:$C,A18,Semua_Skenario!$H:$H,"Low")</f>
        <v>0</v>
      </c>
      <c r="G18" s="1">
        <f>COUNTIFS(Semua_Skenario!$C:$C,A18,Semua_Skenario!$M:$M,"Pass")</f>
        <v>0</v>
      </c>
      <c r="H18" s="1">
        <f>COUNTIFS(Semua_Skenario!$C:$C,A18,Semua_Skenario!$M:$M,"Fail")</f>
        <v>0</v>
      </c>
      <c r="I18" s="1">
        <f>COUNTIFS(Semua_Skenario!$C:$C,A18,Semua_Skenario!$M:$M,"Blocked")</f>
        <v>0</v>
      </c>
      <c r="J18" s="1">
        <f>COUNTIFS(Semua_Skenario!$C:$C,A18,Semua_Skenario!$M:$M,"Not Started")</f>
        <v>12</v>
      </c>
    </row>
    <row r="19" spans="1:10" ht="28.8" x14ac:dyDescent="0.3">
      <c r="A19" s="1" t="s">
        <v>1125</v>
      </c>
      <c r="B19" s="1" t="s">
        <v>577</v>
      </c>
      <c r="C19" s="1">
        <f>COUNTIF(Semua_Skenario!$C:$C,A19)</f>
        <v>9</v>
      </c>
      <c r="D19" s="1">
        <f>COUNTIFS(Semua_Skenario!$C:$C,A19,Semua_Skenario!$H:$H,"High")</f>
        <v>6</v>
      </c>
      <c r="E19" s="1">
        <f>COUNTIFS(Semua_Skenario!$C:$C,A19,Semua_Skenario!$H:$H,"Medium")</f>
        <v>3</v>
      </c>
      <c r="F19" s="1">
        <f>COUNTIFS(Semua_Skenario!$C:$C,A19,Semua_Skenario!$H:$H,"Low")</f>
        <v>0</v>
      </c>
      <c r="G19" s="1">
        <f>COUNTIFS(Semua_Skenario!$C:$C,A19,Semua_Skenario!$M:$M,"Pass")</f>
        <v>0</v>
      </c>
      <c r="H19" s="1">
        <f>COUNTIFS(Semua_Skenario!$C:$C,A19,Semua_Skenario!$M:$M,"Fail")</f>
        <v>0</v>
      </c>
      <c r="I19" s="1">
        <f>COUNTIFS(Semua_Skenario!$C:$C,A19,Semua_Skenario!$M:$M,"Blocked")</f>
        <v>0</v>
      </c>
      <c r="J19" s="1">
        <f>COUNTIFS(Semua_Skenario!$C:$C,A19,Semua_Skenario!$M:$M,"Not Started")</f>
        <v>9</v>
      </c>
    </row>
    <row r="20" spans="1:10" x14ac:dyDescent="0.3">
      <c r="A20" s="1" t="s">
        <v>1181</v>
      </c>
      <c r="B20" s="1" t="s">
        <v>1180</v>
      </c>
      <c r="C20" s="1">
        <f>COUNTIF(Semua_Skenario!$C:$C,A20)</f>
        <v>12</v>
      </c>
      <c r="D20" s="1">
        <f>COUNTIFS(Semua_Skenario!$C:$C,A20,Semua_Skenario!$H:$H,"High")</f>
        <v>5</v>
      </c>
      <c r="E20" s="1">
        <f>COUNTIFS(Semua_Skenario!$C:$C,A20,Semua_Skenario!$H:$H,"Medium")</f>
        <v>7</v>
      </c>
      <c r="F20" s="1">
        <f>COUNTIFS(Semua_Skenario!$C:$C,A20,Semua_Skenario!$H:$H,"Low")</f>
        <v>0</v>
      </c>
      <c r="G20" s="1">
        <f>COUNTIFS(Semua_Skenario!$C:$C,A20,Semua_Skenario!$M:$M,"Pass")</f>
        <v>0</v>
      </c>
      <c r="H20" s="1">
        <f>COUNTIFS(Semua_Skenario!$C:$C,A20,Semua_Skenario!$M:$M,"Fail")</f>
        <v>0</v>
      </c>
      <c r="I20" s="1">
        <f>COUNTIFS(Semua_Skenario!$C:$C,A20,Semua_Skenario!$M:$M,"Blocked")</f>
        <v>0</v>
      </c>
      <c r="J20" s="1">
        <f>COUNTIFS(Semua_Skenario!$C:$C,A20,Semua_Skenario!$M:$M,"Not Started")</f>
        <v>12</v>
      </c>
    </row>
    <row r="21" spans="1:10" x14ac:dyDescent="0.3">
      <c r="A21" s="1" t="s">
        <v>1252</v>
      </c>
      <c r="B21" s="1" t="s">
        <v>1180</v>
      </c>
      <c r="C21" s="1">
        <f>COUNTIF(Semua_Skenario!$C:$C,A21)</f>
        <v>10</v>
      </c>
      <c r="D21" s="1">
        <f>COUNTIFS(Semua_Skenario!$C:$C,A21,Semua_Skenario!$H:$H,"High")</f>
        <v>9</v>
      </c>
      <c r="E21" s="1">
        <f>COUNTIFS(Semua_Skenario!$C:$C,A21,Semua_Skenario!$H:$H,"Medium")</f>
        <v>1</v>
      </c>
      <c r="F21" s="1">
        <f>COUNTIFS(Semua_Skenario!$C:$C,A21,Semua_Skenario!$H:$H,"Low")</f>
        <v>0</v>
      </c>
      <c r="G21" s="1">
        <f>COUNTIFS(Semua_Skenario!$C:$C,A21,Semua_Skenario!$M:$M,"Pass")</f>
        <v>0</v>
      </c>
      <c r="H21" s="1">
        <f>COUNTIFS(Semua_Skenario!$C:$C,A21,Semua_Skenario!$M:$M,"Fail")</f>
        <v>0</v>
      </c>
      <c r="I21" s="1">
        <f>COUNTIFS(Semua_Skenario!$C:$C,A21,Semua_Skenario!$M:$M,"Blocked")</f>
        <v>0</v>
      </c>
      <c r="J21" s="1">
        <f>COUNTIFS(Semua_Skenario!$C:$C,A21,Semua_Skenario!$M:$M,"Not Started")</f>
        <v>10</v>
      </c>
    </row>
    <row r="22" spans="1:10" ht="28.8" x14ac:dyDescent="0.3">
      <c r="A22" s="1" t="s">
        <v>1315</v>
      </c>
      <c r="B22" s="1" t="s">
        <v>577</v>
      </c>
      <c r="C22" s="1">
        <f>COUNTIF(Semua_Skenario!$C:$C,A22)</f>
        <v>36</v>
      </c>
      <c r="D22" s="1">
        <f>COUNTIFS(Semua_Skenario!$C:$C,A22,Semua_Skenario!$H:$H,"High")</f>
        <v>23</v>
      </c>
      <c r="E22" s="1">
        <f>COUNTIFS(Semua_Skenario!$C:$C,A22,Semua_Skenario!$H:$H,"Medium")</f>
        <v>11</v>
      </c>
      <c r="F22" s="1">
        <f>COUNTIFS(Semua_Skenario!$C:$C,A22,Semua_Skenario!$H:$H,"Low")</f>
        <v>2</v>
      </c>
      <c r="G22" s="1">
        <f>COUNTIFS(Semua_Skenario!$C:$C,A22,Semua_Skenario!$M:$M,"Pass")</f>
        <v>0</v>
      </c>
      <c r="H22" s="1">
        <f>COUNTIFS(Semua_Skenario!$C:$C,A22,Semua_Skenario!$M:$M,"Fail")</f>
        <v>0</v>
      </c>
      <c r="I22" s="1">
        <f>COUNTIFS(Semua_Skenario!$C:$C,A22,Semua_Skenario!$M:$M,"Blocked")</f>
        <v>0</v>
      </c>
      <c r="J22" s="1">
        <f>COUNTIFS(Semua_Skenario!$C:$C,A22,Semua_Skenario!$M:$M,"Not Started")</f>
        <v>36</v>
      </c>
    </row>
  </sheetData>
  <mergeCells count="3">
    <mergeCell ref="L4:P4"/>
    <mergeCell ref="A2:H2"/>
    <mergeCell ref="A1:H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88"/>
  <sheetViews>
    <sheetView showGridLines="0" workbookViewId="0"/>
  </sheetViews>
  <sheetFormatPr defaultRowHeight="14.4" x14ac:dyDescent="0.3"/>
  <cols>
    <col min="1" max="1" width="6" customWidth="1"/>
    <col min="2" max="2" width="20" customWidth="1"/>
    <col min="3" max="3" width="22" customWidth="1"/>
    <col min="4" max="5" width="24" customWidth="1"/>
    <col min="6" max="6" width="34" customWidth="1"/>
    <col min="7" max="7" width="42" customWidth="1"/>
    <col min="8" max="8" width="24" customWidth="1"/>
    <col min="9" max="9" width="34" customWidth="1"/>
    <col min="10" max="10" width="40" customWidth="1"/>
    <col min="11" max="11" width="30" customWidth="1"/>
    <col min="12" max="12" width="10" customWidth="1"/>
    <col min="13" max="13" width="14" customWidth="1"/>
    <col min="14" max="15" width="26" customWidth="1"/>
    <col min="16" max="16" width="42" customWidth="1"/>
  </cols>
  <sheetData>
    <row r="1" spans="1:16" x14ac:dyDescent="0.3">
      <c r="A1" s="17" t="s">
        <v>1594</v>
      </c>
      <c r="B1" s="16"/>
      <c r="C1" s="16"/>
      <c r="D1" s="16"/>
      <c r="E1" s="16"/>
      <c r="F1" s="16"/>
      <c r="G1" s="16"/>
      <c r="H1" s="16"/>
      <c r="I1" s="16"/>
      <c r="J1" s="16"/>
      <c r="K1" s="16"/>
      <c r="L1" s="16"/>
      <c r="M1" s="16"/>
      <c r="N1" s="16"/>
      <c r="O1" s="16"/>
      <c r="P1" s="16"/>
    </row>
    <row r="2" spans="1:16" x14ac:dyDescent="0.3">
      <c r="A2" s="15" t="s">
        <v>1595</v>
      </c>
      <c r="B2" s="16"/>
      <c r="C2" s="16"/>
      <c r="D2" s="16"/>
      <c r="E2" s="16"/>
      <c r="F2" s="16"/>
      <c r="G2" s="16"/>
      <c r="H2" s="16"/>
      <c r="I2" s="16"/>
      <c r="J2" s="16"/>
      <c r="K2" s="16"/>
      <c r="L2" s="16"/>
      <c r="M2" s="16"/>
      <c r="N2" s="16"/>
      <c r="O2" s="16"/>
      <c r="P2" s="16"/>
    </row>
    <row r="4" spans="1:16" x14ac:dyDescent="0.3">
      <c r="A4" s="5" t="s">
        <v>1596</v>
      </c>
      <c r="B4" s="5" t="s">
        <v>1597</v>
      </c>
      <c r="C4" s="5" t="s">
        <v>1598</v>
      </c>
      <c r="D4" s="5" t="s">
        <v>1599</v>
      </c>
      <c r="E4" s="5" t="s">
        <v>1600</v>
      </c>
      <c r="F4" s="5" t="s">
        <v>1601</v>
      </c>
      <c r="G4" s="5" t="s">
        <v>1602</v>
      </c>
      <c r="H4" s="5" t="s">
        <v>1603</v>
      </c>
      <c r="I4" s="5" t="s">
        <v>1604</v>
      </c>
      <c r="J4" s="5" t="s">
        <v>1605</v>
      </c>
      <c r="K4" s="5" t="s">
        <v>1606</v>
      </c>
      <c r="L4" s="5" t="s">
        <v>42</v>
      </c>
      <c r="M4" s="5" t="s">
        <v>17</v>
      </c>
      <c r="N4" s="5" t="s">
        <v>47</v>
      </c>
      <c r="O4" s="5" t="s">
        <v>20</v>
      </c>
      <c r="P4" s="5" t="s">
        <v>48</v>
      </c>
    </row>
    <row r="5" spans="1:16" ht="54" customHeight="1" x14ac:dyDescent="0.3">
      <c r="A5" s="13">
        <v>1</v>
      </c>
      <c r="B5" s="13" t="s">
        <v>54</v>
      </c>
      <c r="C5" s="13" t="s">
        <v>52</v>
      </c>
      <c r="D5" s="13" t="s">
        <v>1607</v>
      </c>
      <c r="E5" s="13" t="s">
        <v>1608</v>
      </c>
      <c r="F5" s="13" t="s">
        <v>1609</v>
      </c>
      <c r="G5" s="13" t="s">
        <v>1610</v>
      </c>
      <c r="H5" s="13" t="s">
        <v>1611</v>
      </c>
      <c r="I5" s="13" t="s">
        <v>1612</v>
      </c>
      <c r="J5" s="13" t="s">
        <v>1613</v>
      </c>
      <c r="K5" s="13" t="s">
        <v>1614</v>
      </c>
      <c r="L5" s="13" t="s">
        <v>24</v>
      </c>
      <c r="M5" s="13" t="s">
        <v>23</v>
      </c>
      <c r="N5" s="13" t="s">
        <v>59</v>
      </c>
      <c r="O5" s="13" t="s">
        <v>59</v>
      </c>
      <c r="P5" s="13" t="s">
        <v>60</v>
      </c>
    </row>
    <row r="6" spans="1:16" ht="54" customHeight="1" x14ac:dyDescent="0.3">
      <c r="A6" s="13">
        <v>2</v>
      </c>
      <c r="B6" s="13" t="s">
        <v>1588</v>
      </c>
      <c r="C6" s="13" t="s">
        <v>1608</v>
      </c>
      <c r="D6" s="13" t="s">
        <v>1608</v>
      </c>
      <c r="E6" s="13" t="s">
        <v>1615</v>
      </c>
      <c r="F6" s="13" t="s">
        <v>1616</v>
      </c>
      <c r="G6" s="13" t="s">
        <v>1617</v>
      </c>
      <c r="H6" s="13" t="s">
        <v>1618</v>
      </c>
      <c r="I6" s="13" t="s">
        <v>1619</v>
      </c>
      <c r="J6" s="13" t="s">
        <v>1620</v>
      </c>
      <c r="K6" s="13" t="s">
        <v>1621</v>
      </c>
      <c r="L6" s="13" t="s">
        <v>24</v>
      </c>
      <c r="M6" s="13" t="s">
        <v>23</v>
      </c>
      <c r="N6" s="13" t="s">
        <v>59</v>
      </c>
      <c r="O6" s="13" t="s">
        <v>59</v>
      </c>
      <c r="P6" s="13" t="s">
        <v>263</v>
      </c>
    </row>
    <row r="7" spans="1:16" ht="54" customHeight="1" x14ac:dyDescent="0.3">
      <c r="A7" s="13">
        <v>3</v>
      </c>
      <c r="B7" s="13" t="s">
        <v>416</v>
      </c>
      <c r="C7" s="13" t="s">
        <v>170</v>
      </c>
      <c r="D7" s="13" t="s">
        <v>171</v>
      </c>
      <c r="E7" s="13" t="s">
        <v>178</v>
      </c>
      <c r="F7" s="13" t="s">
        <v>1622</v>
      </c>
      <c r="G7" s="13" t="s">
        <v>1623</v>
      </c>
      <c r="H7" s="13" t="s">
        <v>1624</v>
      </c>
      <c r="I7" s="13" t="s">
        <v>1625</v>
      </c>
      <c r="J7" s="13" t="s">
        <v>1626</v>
      </c>
      <c r="K7" s="13" t="s">
        <v>1627</v>
      </c>
      <c r="L7" s="13" t="s">
        <v>24</v>
      </c>
      <c r="M7" s="13" t="s">
        <v>23</v>
      </c>
      <c r="N7" s="13" t="s">
        <v>59</v>
      </c>
      <c r="O7" s="13" t="s">
        <v>59</v>
      </c>
      <c r="P7" s="13" t="s">
        <v>60</v>
      </c>
    </row>
    <row r="8" spans="1:16" ht="54" customHeight="1" x14ac:dyDescent="0.3">
      <c r="A8" s="13">
        <v>4</v>
      </c>
      <c r="B8" s="13" t="s">
        <v>416</v>
      </c>
      <c r="C8" s="13" t="s">
        <v>170</v>
      </c>
      <c r="D8" s="13" t="s">
        <v>178</v>
      </c>
      <c r="E8" s="13" t="s">
        <v>258</v>
      </c>
      <c r="F8" s="13" t="s">
        <v>1628</v>
      </c>
      <c r="G8" s="13" t="s">
        <v>1629</v>
      </c>
      <c r="H8" s="13" t="s">
        <v>1630</v>
      </c>
      <c r="I8" s="13" t="s">
        <v>1631</v>
      </c>
      <c r="J8" s="13" t="s">
        <v>1632</v>
      </c>
      <c r="K8" s="13" t="s">
        <v>1633</v>
      </c>
      <c r="L8" s="13" t="s">
        <v>24</v>
      </c>
      <c r="M8" s="13" t="s">
        <v>23</v>
      </c>
      <c r="N8" s="13" t="s">
        <v>59</v>
      </c>
      <c r="O8" s="13" t="s">
        <v>59</v>
      </c>
      <c r="P8" s="13" t="s">
        <v>263</v>
      </c>
    </row>
    <row r="9" spans="1:16" ht="54" customHeight="1" x14ac:dyDescent="0.3">
      <c r="A9" s="13">
        <v>5</v>
      </c>
      <c r="B9" s="13" t="s">
        <v>1591</v>
      </c>
      <c r="C9" s="13" t="s">
        <v>170</v>
      </c>
      <c r="D9" s="13" t="s">
        <v>258</v>
      </c>
      <c r="E9" s="13" t="s">
        <v>1634</v>
      </c>
      <c r="F9" s="13" t="s">
        <v>1635</v>
      </c>
      <c r="G9" s="13" t="s">
        <v>1636</v>
      </c>
      <c r="H9" s="13" t="s">
        <v>1637</v>
      </c>
      <c r="I9" s="13" t="s">
        <v>1638</v>
      </c>
      <c r="J9" s="13" t="s">
        <v>1639</v>
      </c>
      <c r="K9" s="13" t="s">
        <v>1640</v>
      </c>
      <c r="L9" s="13" t="s">
        <v>24</v>
      </c>
      <c r="M9" s="13" t="s">
        <v>23</v>
      </c>
      <c r="N9" s="13" t="s">
        <v>59</v>
      </c>
      <c r="O9" s="13" t="s">
        <v>59</v>
      </c>
      <c r="P9" s="13" t="s">
        <v>60</v>
      </c>
    </row>
    <row r="10" spans="1:16" ht="54" customHeight="1" x14ac:dyDescent="0.3">
      <c r="A10" s="13">
        <v>6</v>
      </c>
      <c r="B10" s="13" t="s">
        <v>1589</v>
      </c>
      <c r="C10" s="13" t="s">
        <v>170</v>
      </c>
      <c r="D10" s="13" t="s">
        <v>258</v>
      </c>
      <c r="E10" s="13" t="s">
        <v>1634</v>
      </c>
      <c r="F10" s="13" t="s">
        <v>1641</v>
      </c>
      <c r="G10" s="13" t="s">
        <v>1642</v>
      </c>
      <c r="H10" s="13" t="s">
        <v>1643</v>
      </c>
      <c r="I10" s="13" t="s">
        <v>1644</v>
      </c>
      <c r="J10" s="13" t="s">
        <v>1645</v>
      </c>
      <c r="K10" s="13" t="s">
        <v>1646</v>
      </c>
      <c r="L10" s="13" t="s">
        <v>24</v>
      </c>
      <c r="M10" s="13" t="s">
        <v>23</v>
      </c>
      <c r="N10" s="13" t="s">
        <v>59</v>
      </c>
      <c r="O10" s="13" t="s">
        <v>59</v>
      </c>
      <c r="P10" s="13" t="s">
        <v>60</v>
      </c>
    </row>
    <row r="11" spans="1:16" ht="54" customHeight="1" x14ac:dyDescent="0.3">
      <c r="A11" s="13">
        <v>7</v>
      </c>
      <c r="B11" s="13" t="s">
        <v>1589</v>
      </c>
      <c r="C11" s="13" t="s">
        <v>170</v>
      </c>
      <c r="D11" s="13" t="s">
        <v>258</v>
      </c>
      <c r="E11" s="13" t="s">
        <v>1634</v>
      </c>
      <c r="F11" s="13" t="s">
        <v>1647</v>
      </c>
      <c r="G11" s="13" t="s">
        <v>1648</v>
      </c>
      <c r="H11" s="13" t="s">
        <v>1649</v>
      </c>
      <c r="I11" s="13" t="s">
        <v>1650</v>
      </c>
      <c r="J11" s="13" t="s">
        <v>1651</v>
      </c>
      <c r="K11" s="13" t="s">
        <v>1652</v>
      </c>
      <c r="L11" s="13" t="s">
        <v>27</v>
      </c>
      <c r="M11" s="13" t="s">
        <v>23</v>
      </c>
      <c r="N11" s="13" t="s">
        <v>59</v>
      </c>
      <c r="O11" s="13" t="s">
        <v>59</v>
      </c>
      <c r="P11" s="13" t="s">
        <v>60</v>
      </c>
    </row>
    <row r="12" spans="1:16" ht="54" customHeight="1" x14ac:dyDescent="0.3">
      <c r="A12" s="13">
        <v>8</v>
      </c>
      <c r="B12" s="13" t="s">
        <v>1589</v>
      </c>
      <c r="C12" s="13" t="s">
        <v>170</v>
      </c>
      <c r="D12" s="13" t="s">
        <v>258</v>
      </c>
      <c r="E12" s="13" t="s">
        <v>1653</v>
      </c>
      <c r="F12" s="13" t="s">
        <v>1654</v>
      </c>
      <c r="G12" s="13" t="s">
        <v>1655</v>
      </c>
      <c r="H12" s="13" t="s">
        <v>1656</v>
      </c>
      <c r="I12" s="13" t="s">
        <v>1657</v>
      </c>
      <c r="J12" s="13" t="s">
        <v>1658</v>
      </c>
      <c r="K12" s="13" t="s">
        <v>1659</v>
      </c>
      <c r="L12" s="13" t="s">
        <v>27</v>
      </c>
      <c r="M12" s="13" t="s">
        <v>23</v>
      </c>
      <c r="N12" s="13" t="s">
        <v>59</v>
      </c>
      <c r="O12" s="13" t="s">
        <v>59</v>
      </c>
      <c r="P12" s="13" t="s">
        <v>60</v>
      </c>
    </row>
    <row r="13" spans="1:16" ht="54" customHeight="1" x14ac:dyDescent="0.3">
      <c r="A13" s="13">
        <v>9</v>
      </c>
      <c r="B13" s="13" t="s">
        <v>416</v>
      </c>
      <c r="C13" s="13" t="s">
        <v>321</v>
      </c>
      <c r="D13" s="13" t="s">
        <v>1660</v>
      </c>
      <c r="E13" s="13" t="s">
        <v>347</v>
      </c>
      <c r="F13" s="13" t="s">
        <v>1661</v>
      </c>
      <c r="G13" s="13" t="s">
        <v>1662</v>
      </c>
      <c r="H13" s="13" t="s">
        <v>1663</v>
      </c>
      <c r="I13" s="13" t="s">
        <v>1664</v>
      </c>
      <c r="J13" s="13" t="s">
        <v>1665</v>
      </c>
      <c r="K13" s="13" t="s">
        <v>1666</v>
      </c>
      <c r="L13" s="13" t="s">
        <v>24</v>
      </c>
      <c r="M13" s="13" t="s">
        <v>23</v>
      </c>
      <c r="N13" s="13" t="s">
        <v>59</v>
      </c>
      <c r="O13" s="13" t="s">
        <v>59</v>
      </c>
      <c r="P13" s="13" t="s">
        <v>263</v>
      </c>
    </row>
    <row r="14" spans="1:16" ht="54" customHeight="1" x14ac:dyDescent="0.3">
      <c r="A14" s="13">
        <v>10</v>
      </c>
      <c r="B14" s="13" t="s">
        <v>1590</v>
      </c>
      <c r="C14" s="13" t="s">
        <v>321</v>
      </c>
      <c r="D14" s="13" t="s">
        <v>347</v>
      </c>
      <c r="E14" s="13" t="s">
        <v>1667</v>
      </c>
      <c r="F14" s="13" t="s">
        <v>1668</v>
      </c>
      <c r="G14" s="13" t="s">
        <v>1669</v>
      </c>
      <c r="H14" s="13" t="s">
        <v>1670</v>
      </c>
      <c r="I14" s="13" t="s">
        <v>1671</v>
      </c>
      <c r="J14" s="13" t="s">
        <v>1672</v>
      </c>
      <c r="K14" s="13" t="s">
        <v>1673</v>
      </c>
      <c r="L14" s="13" t="s">
        <v>24</v>
      </c>
      <c r="M14" s="13" t="s">
        <v>23</v>
      </c>
      <c r="N14" s="13" t="s">
        <v>59</v>
      </c>
      <c r="O14" s="13" t="s">
        <v>59</v>
      </c>
      <c r="P14" s="13" t="s">
        <v>101</v>
      </c>
    </row>
    <row r="15" spans="1:16" ht="54" customHeight="1" x14ac:dyDescent="0.3">
      <c r="A15" s="13">
        <v>11</v>
      </c>
      <c r="B15" s="13" t="s">
        <v>1589</v>
      </c>
      <c r="C15" s="13" t="s">
        <v>395</v>
      </c>
      <c r="D15" s="13" t="s">
        <v>396</v>
      </c>
      <c r="E15" s="13" t="s">
        <v>1674</v>
      </c>
      <c r="F15" s="13" t="s">
        <v>1675</v>
      </c>
      <c r="G15" s="13" t="s">
        <v>1676</v>
      </c>
      <c r="H15" s="13" t="s">
        <v>1677</v>
      </c>
      <c r="I15" s="13" t="s">
        <v>1678</v>
      </c>
      <c r="J15" s="13" t="s">
        <v>1679</v>
      </c>
      <c r="K15" s="13" t="s">
        <v>1680</v>
      </c>
      <c r="L15" s="13" t="s">
        <v>24</v>
      </c>
      <c r="M15" s="13" t="s">
        <v>23</v>
      </c>
      <c r="N15" s="13" t="s">
        <v>59</v>
      </c>
      <c r="O15" s="13" t="s">
        <v>59</v>
      </c>
      <c r="P15" s="13" t="s">
        <v>60</v>
      </c>
    </row>
    <row r="16" spans="1:16" ht="54" customHeight="1" x14ac:dyDescent="0.3">
      <c r="A16" s="13">
        <v>12</v>
      </c>
      <c r="B16" s="13" t="s">
        <v>1589</v>
      </c>
      <c r="C16" s="13" t="s">
        <v>395</v>
      </c>
      <c r="D16" s="13" t="s">
        <v>1681</v>
      </c>
      <c r="E16" s="13" t="s">
        <v>1682</v>
      </c>
      <c r="F16" s="13" t="s">
        <v>1683</v>
      </c>
      <c r="G16" s="13" t="s">
        <v>1684</v>
      </c>
      <c r="H16" s="13" t="s">
        <v>1685</v>
      </c>
      <c r="I16" s="13" t="s">
        <v>1686</v>
      </c>
      <c r="J16" s="13" t="s">
        <v>1687</v>
      </c>
      <c r="K16" s="13" t="s">
        <v>1688</v>
      </c>
      <c r="L16" s="13" t="s">
        <v>24</v>
      </c>
      <c r="M16" s="13" t="s">
        <v>23</v>
      </c>
      <c r="N16" s="13" t="s">
        <v>59</v>
      </c>
      <c r="O16" s="13" t="s">
        <v>59</v>
      </c>
      <c r="P16" s="13" t="s">
        <v>60</v>
      </c>
    </row>
    <row r="17" spans="1:16" ht="54" customHeight="1" x14ac:dyDescent="0.3">
      <c r="A17" s="13">
        <v>13</v>
      </c>
      <c r="B17" s="13" t="s">
        <v>416</v>
      </c>
      <c r="C17" s="13" t="s">
        <v>395</v>
      </c>
      <c r="D17" s="13" t="s">
        <v>1681</v>
      </c>
      <c r="E17" s="13" t="s">
        <v>1682</v>
      </c>
      <c r="F17" s="13" t="s">
        <v>1689</v>
      </c>
      <c r="G17" s="13" t="s">
        <v>1690</v>
      </c>
      <c r="H17" s="13" t="s">
        <v>1691</v>
      </c>
      <c r="I17" s="13" t="s">
        <v>1692</v>
      </c>
      <c r="J17" s="13" t="s">
        <v>1693</v>
      </c>
      <c r="K17" s="13" t="s">
        <v>1694</v>
      </c>
      <c r="L17" s="13" t="s">
        <v>24</v>
      </c>
      <c r="M17" s="13" t="s">
        <v>23</v>
      </c>
      <c r="N17" s="13" t="s">
        <v>59</v>
      </c>
      <c r="O17" s="13" t="s">
        <v>59</v>
      </c>
      <c r="P17" s="13" t="s">
        <v>60</v>
      </c>
    </row>
    <row r="18" spans="1:16" ht="54" customHeight="1" x14ac:dyDescent="0.3">
      <c r="A18" s="13">
        <v>14</v>
      </c>
      <c r="B18" s="13" t="s">
        <v>1591</v>
      </c>
      <c r="C18" s="13" t="s">
        <v>467</v>
      </c>
      <c r="D18" s="13" t="s">
        <v>1695</v>
      </c>
      <c r="E18" s="13" t="s">
        <v>1696</v>
      </c>
      <c r="F18" s="13" t="s">
        <v>1697</v>
      </c>
      <c r="G18" s="13" t="s">
        <v>1698</v>
      </c>
      <c r="H18" s="13" t="s">
        <v>1699</v>
      </c>
      <c r="I18" s="13" t="s">
        <v>1700</v>
      </c>
      <c r="J18" s="13" t="s">
        <v>1701</v>
      </c>
      <c r="K18" s="13" t="s">
        <v>1702</v>
      </c>
      <c r="L18" s="13" t="s">
        <v>24</v>
      </c>
      <c r="M18" s="13" t="s">
        <v>23</v>
      </c>
      <c r="N18" s="13" t="s">
        <v>59</v>
      </c>
      <c r="O18" s="13" t="s">
        <v>59</v>
      </c>
      <c r="P18" s="13" t="s">
        <v>60</v>
      </c>
    </row>
    <row r="19" spans="1:16" ht="54" customHeight="1" x14ac:dyDescent="0.3">
      <c r="A19" s="13">
        <v>15</v>
      </c>
      <c r="B19" s="13" t="s">
        <v>186</v>
      </c>
      <c r="C19" s="13" t="s">
        <v>530</v>
      </c>
      <c r="D19" s="13" t="s">
        <v>1703</v>
      </c>
      <c r="E19" s="13" t="s">
        <v>1704</v>
      </c>
      <c r="F19" s="13" t="s">
        <v>1705</v>
      </c>
      <c r="G19" s="13" t="s">
        <v>1706</v>
      </c>
      <c r="H19" s="13" t="s">
        <v>1707</v>
      </c>
      <c r="I19" s="13" t="s">
        <v>1708</v>
      </c>
      <c r="J19" s="13" t="s">
        <v>1709</v>
      </c>
      <c r="K19" s="13" t="s">
        <v>1710</v>
      </c>
      <c r="L19" s="13" t="s">
        <v>27</v>
      </c>
      <c r="M19" s="13" t="s">
        <v>23</v>
      </c>
      <c r="N19" s="13" t="s">
        <v>59</v>
      </c>
      <c r="O19" s="13" t="s">
        <v>59</v>
      </c>
      <c r="P19" s="13" t="s">
        <v>60</v>
      </c>
    </row>
    <row r="20" spans="1:16" ht="54" customHeight="1" x14ac:dyDescent="0.3">
      <c r="A20" s="13">
        <v>16</v>
      </c>
      <c r="B20" s="13" t="s">
        <v>1589</v>
      </c>
      <c r="C20" s="13" t="s">
        <v>578</v>
      </c>
      <c r="D20" s="13" t="s">
        <v>1711</v>
      </c>
      <c r="E20" s="13" t="s">
        <v>1712</v>
      </c>
      <c r="F20" s="13" t="s">
        <v>1713</v>
      </c>
      <c r="G20" s="13" t="s">
        <v>1714</v>
      </c>
      <c r="H20" s="13" t="s">
        <v>1715</v>
      </c>
      <c r="I20" s="13" t="s">
        <v>1716</v>
      </c>
      <c r="J20" s="13" t="s">
        <v>1717</v>
      </c>
      <c r="K20" s="13" t="s">
        <v>1718</v>
      </c>
      <c r="L20" s="13" t="s">
        <v>24</v>
      </c>
      <c r="M20" s="13" t="s">
        <v>23</v>
      </c>
      <c r="N20" s="13" t="s">
        <v>59</v>
      </c>
      <c r="O20" s="13" t="s">
        <v>59</v>
      </c>
      <c r="P20" s="13" t="s">
        <v>60</v>
      </c>
    </row>
    <row r="21" spans="1:16" ht="54" customHeight="1" x14ac:dyDescent="0.3">
      <c r="A21" s="13">
        <v>17</v>
      </c>
      <c r="B21" s="13" t="s">
        <v>416</v>
      </c>
      <c r="C21" s="13" t="s">
        <v>578</v>
      </c>
      <c r="D21" s="13" t="s">
        <v>1711</v>
      </c>
      <c r="E21" s="13" t="s">
        <v>1712</v>
      </c>
      <c r="F21" s="13" t="s">
        <v>1719</v>
      </c>
      <c r="G21" s="13" t="s">
        <v>1720</v>
      </c>
      <c r="H21" s="13" t="s">
        <v>1721</v>
      </c>
      <c r="I21" s="13" t="s">
        <v>1722</v>
      </c>
      <c r="J21" s="13" t="s">
        <v>1723</v>
      </c>
      <c r="K21" s="13" t="s">
        <v>1724</v>
      </c>
      <c r="L21" s="13" t="s">
        <v>24</v>
      </c>
      <c r="M21" s="13" t="s">
        <v>23</v>
      </c>
      <c r="N21" s="13" t="s">
        <v>59</v>
      </c>
      <c r="O21" s="13" t="s">
        <v>59</v>
      </c>
      <c r="P21" s="13" t="s">
        <v>60</v>
      </c>
    </row>
    <row r="22" spans="1:16" ht="54" customHeight="1" x14ac:dyDescent="0.3">
      <c r="A22" s="13">
        <v>18</v>
      </c>
      <c r="B22" s="13" t="s">
        <v>1589</v>
      </c>
      <c r="C22" s="13" t="s">
        <v>578</v>
      </c>
      <c r="D22" s="13" t="s">
        <v>1725</v>
      </c>
      <c r="E22" s="13" t="s">
        <v>1726</v>
      </c>
      <c r="F22" s="13" t="s">
        <v>1727</v>
      </c>
      <c r="G22" s="13" t="s">
        <v>1728</v>
      </c>
      <c r="H22" s="13" t="s">
        <v>1729</v>
      </c>
      <c r="I22" s="13" t="s">
        <v>1730</v>
      </c>
      <c r="J22" s="13" t="s">
        <v>1731</v>
      </c>
      <c r="K22" s="13" t="s">
        <v>1732</v>
      </c>
      <c r="L22" s="13" t="s">
        <v>27</v>
      </c>
      <c r="M22" s="13" t="s">
        <v>23</v>
      </c>
      <c r="N22" s="13" t="s">
        <v>59</v>
      </c>
      <c r="O22" s="13" t="s">
        <v>59</v>
      </c>
      <c r="P22" s="13" t="s">
        <v>60</v>
      </c>
    </row>
    <row r="23" spans="1:16" ht="54" customHeight="1" x14ac:dyDescent="0.3">
      <c r="A23" s="13">
        <v>19</v>
      </c>
      <c r="B23" s="13" t="s">
        <v>1589</v>
      </c>
      <c r="C23" s="13" t="s">
        <v>578</v>
      </c>
      <c r="D23" s="13" t="s">
        <v>1733</v>
      </c>
      <c r="E23" s="13" t="s">
        <v>1734</v>
      </c>
      <c r="F23" s="13" t="s">
        <v>1735</v>
      </c>
      <c r="G23" s="13" t="s">
        <v>1736</v>
      </c>
      <c r="H23" s="13" t="s">
        <v>1737</v>
      </c>
      <c r="I23" s="13" t="s">
        <v>1738</v>
      </c>
      <c r="J23" s="13" t="s">
        <v>1739</v>
      </c>
      <c r="K23" s="13" t="s">
        <v>1740</v>
      </c>
      <c r="L23" s="13" t="s">
        <v>27</v>
      </c>
      <c r="M23" s="13" t="s">
        <v>23</v>
      </c>
      <c r="N23" s="13" t="s">
        <v>59</v>
      </c>
      <c r="O23" s="13" t="s">
        <v>59</v>
      </c>
      <c r="P23" s="13" t="s">
        <v>60</v>
      </c>
    </row>
    <row r="24" spans="1:16" ht="54" customHeight="1" x14ac:dyDescent="0.3">
      <c r="A24" s="13">
        <v>20</v>
      </c>
      <c r="B24" s="13" t="s">
        <v>1590</v>
      </c>
      <c r="C24" s="13" t="s">
        <v>647</v>
      </c>
      <c r="D24" s="13" t="s">
        <v>1741</v>
      </c>
      <c r="E24" s="13" t="s">
        <v>1742</v>
      </c>
      <c r="F24" s="13" t="s">
        <v>1743</v>
      </c>
      <c r="G24" s="13" t="s">
        <v>1744</v>
      </c>
      <c r="H24" s="13" t="s">
        <v>1745</v>
      </c>
      <c r="I24" s="13" t="s">
        <v>1746</v>
      </c>
      <c r="J24" s="13" t="s">
        <v>1747</v>
      </c>
      <c r="K24" s="13" t="s">
        <v>1748</v>
      </c>
      <c r="L24" s="13" t="s">
        <v>24</v>
      </c>
      <c r="M24" s="13" t="s">
        <v>23</v>
      </c>
      <c r="N24" s="13" t="s">
        <v>59</v>
      </c>
      <c r="O24" s="13" t="s">
        <v>59</v>
      </c>
      <c r="P24" s="13" t="s">
        <v>60</v>
      </c>
    </row>
    <row r="25" spans="1:16" ht="54" customHeight="1" x14ac:dyDescent="0.3">
      <c r="A25" s="13">
        <v>21</v>
      </c>
      <c r="B25" s="13" t="s">
        <v>1590</v>
      </c>
      <c r="C25" s="13" t="s">
        <v>707</v>
      </c>
      <c r="D25" s="13" t="s">
        <v>708</v>
      </c>
      <c r="E25" s="13" t="s">
        <v>1749</v>
      </c>
      <c r="F25" s="13" t="s">
        <v>1750</v>
      </c>
      <c r="G25" s="13" t="s">
        <v>1751</v>
      </c>
      <c r="H25" s="13" t="s">
        <v>1752</v>
      </c>
      <c r="I25" s="13" t="s">
        <v>1753</v>
      </c>
      <c r="J25" s="13" t="s">
        <v>1754</v>
      </c>
      <c r="K25" s="13" t="s">
        <v>1755</v>
      </c>
      <c r="L25" s="13" t="s">
        <v>24</v>
      </c>
      <c r="M25" s="13" t="s">
        <v>23</v>
      </c>
      <c r="N25" s="13" t="s">
        <v>59</v>
      </c>
      <c r="O25" s="13" t="s">
        <v>59</v>
      </c>
      <c r="P25" s="13" t="s">
        <v>60</v>
      </c>
    </row>
    <row r="26" spans="1:16" ht="54" customHeight="1" x14ac:dyDescent="0.3">
      <c r="A26" s="13">
        <v>22</v>
      </c>
      <c r="B26" s="13" t="s">
        <v>1589</v>
      </c>
      <c r="C26" s="13" t="s">
        <v>707</v>
      </c>
      <c r="D26" s="13" t="s">
        <v>1756</v>
      </c>
      <c r="E26" s="13" t="s">
        <v>1757</v>
      </c>
      <c r="F26" s="13" t="s">
        <v>1758</v>
      </c>
      <c r="G26" s="13" t="s">
        <v>1759</v>
      </c>
      <c r="H26" s="13" t="s">
        <v>1760</v>
      </c>
      <c r="I26" s="13" t="s">
        <v>1761</v>
      </c>
      <c r="J26" s="13" t="s">
        <v>1762</v>
      </c>
      <c r="K26" s="13" t="s">
        <v>1763</v>
      </c>
      <c r="L26" s="13" t="s">
        <v>24</v>
      </c>
      <c r="M26" s="13" t="s">
        <v>23</v>
      </c>
      <c r="N26" s="13" t="s">
        <v>59</v>
      </c>
      <c r="O26" s="13" t="s">
        <v>59</v>
      </c>
      <c r="P26" s="13" t="s">
        <v>60</v>
      </c>
    </row>
    <row r="27" spans="1:16" ht="54" customHeight="1" x14ac:dyDescent="0.3">
      <c r="A27" s="13">
        <v>23</v>
      </c>
      <c r="B27" s="13" t="s">
        <v>1591</v>
      </c>
      <c r="C27" s="13" t="s">
        <v>707</v>
      </c>
      <c r="D27" s="13" t="s">
        <v>1756</v>
      </c>
      <c r="E27" s="13" t="s">
        <v>1757</v>
      </c>
      <c r="F27" s="13" t="s">
        <v>1764</v>
      </c>
      <c r="G27" s="13" t="s">
        <v>1765</v>
      </c>
      <c r="H27" s="13" t="s">
        <v>1760</v>
      </c>
      <c r="I27" s="13" t="s">
        <v>1766</v>
      </c>
      <c r="J27" s="13" t="s">
        <v>1767</v>
      </c>
      <c r="K27" s="13" t="s">
        <v>1768</v>
      </c>
      <c r="L27" s="13" t="s">
        <v>27</v>
      </c>
      <c r="M27" s="13" t="s">
        <v>23</v>
      </c>
      <c r="N27" s="13" t="s">
        <v>59</v>
      </c>
      <c r="O27" s="13" t="s">
        <v>59</v>
      </c>
      <c r="P27" s="13" t="s">
        <v>60</v>
      </c>
    </row>
    <row r="28" spans="1:16" ht="54" customHeight="1" x14ac:dyDescent="0.3">
      <c r="A28" s="13">
        <v>24</v>
      </c>
      <c r="B28" s="13" t="s">
        <v>1590</v>
      </c>
      <c r="C28" s="13" t="s">
        <v>779</v>
      </c>
      <c r="D28" s="13" t="s">
        <v>1769</v>
      </c>
      <c r="E28" s="13" t="s">
        <v>1770</v>
      </c>
      <c r="F28" s="13" t="s">
        <v>1771</v>
      </c>
      <c r="G28" s="13" t="s">
        <v>1772</v>
      </c>
      <c r="H28" s="13" t="s">
        <v>1773</v>
      </c>
      <c r="I28" s="13" t="s">
        <v>1774</v>
      </c>
      <c r="J28" s="13" t="s">
        <v>1775</v>
      </c>
      <c r="K28" s="13" t="s">
        <v>1776</v>
      </c>
      <c r="L28" s="13" t="s">
        <v>24</v>
      </c>
      <c r="M28" s="13" t="s">
        <v>23</v>
      </c>
      <c r="N28" s="13" t="s">
        <v>59</v>
      </c>
      <c r="O28" s="13" t="s">
        <v>59</v>
      </c>
      <c r="P28" s="13" t="s">
        <v>263</v>
      </c>
    </row>
    <row r="29" spans="1:16" ht="54" customHeight="1" x14ac:dyDescent="0.3">
      <c r="A29" s="13">
        <v>25</v>
      </c>
      <c r="B29" s="13" t="s">
        <v>1590</v>
      </c>
      <c r="C29" s="13" t="s">
        <v>707</v>
      </c>
      <c r="D29" s="13" t="s">
        <v>1756</v>
      </c>
      <c r="E29" s="13" t="s">
        <v>1777</v>
      </c>
      <c r="F29" s="13" t="s">
        <v>1778</v>
      </c>
      <c r="G29" s="13" t="s">
        <v>1779</v>
      </c>
      <c r="H29" s="13" t="s">
        <v>1780</v>
      </c>
      <c r="I29" s="13" t="s">
        <v>1781</v>
      </c>
      <c r="J29" s="13" t="s">
        <v>1782</v>
      </c>
      <c r="K29" s="13" t="s">
        <v>1783</v>
      </c>
      <c r="L29" s="13" t="s">
        <v>24</v>
      </c>
      <c r="M29" s="13" t="s">
        <v>23</v>
      </c>
      <c r="N29" s="13" t="s">
        <v>59</v>
      </c>
      <c r="O29" s="13" t="s">
        <v>59</v>
      </c>
      <c r="P29" s="13" t="s">
        <v>60</v>
      </c>
    </row>
    <row r="30" spans="1:16" ht="54" customHeight="1" x14ac:dyDescent="0.3">
      <c r="A30" s="13">
        <v>26</v>
      </c>
      <c r="B30" s="13" t="s">
        <v>1590</v>
      </c>
      <c r="C30" s="13" t="s">
        <v>1784</v>
      </c>
      <c r="D30" s="13" t="s">
        <v>1785</v>
      </c>
      <c r="E30" s="13" t="s">
        <v>1786</v>
      </c>
      <c r="F30" s="13" t="s">
        <v>1787</v>
      </c>
      <c r="G30" s="13" t="s">
        <v>1788</v>
      </c>
      <c r="H30" s="13" t="s">
        <v>1789</v>
      </c>
      <c r="I30" s="13" t="s">
        <v>1790</v>
      </c>
      <c r="J30" s="13" t="s">
        <v>1791</v>
      </c>
      <c r="K30" s="13" t="s">
        <v>1792</v>
      </c>
      <c r="L30" s="13" t="s">
        <v>24</v>
      </c>
      <c r="M30" s="13" t="s">
        <v>23</v>
      </c>
      <c r="N30" s="13" t="s">
        <v>59</v>
      </c>
      <c r="O30" s="13" t="s">
        <v>59</v>
      </c>
      <c r="P30" s="13" t="s">
        <v>263</v>
      </c>
    </row>
    <row r="31" spans="1:16" ht="54" customHeight="1" x14ac:dyDescent="0.3">
      <c r="A31" s="13">
        <v>27</v>
      </c>
      <c r="B31" s="13" t="s">
        <v>1589</v>
      </c>
      <c r="C31" s="13" t="s">
        <v>851</v>
      </c>
      <c r="D31" s="13" t="s">
        <v>1793</v>
      </c>
      <c r="E31" s="13" t="s">
        <v>1794</v>
      </c>
      <c r="F31" s="13" t="s">
        <v>1795</v>
      </c>
      <c r="G31" s="13" t="s">
        <v>1796</v>
      </c>
      <c r="H31" s="13" t="s">
        <v>1797</v>
      </c>
      <c r="I31" s="13" t="s">
        <v>1798</v>
      </c>
      <c r="J31" s="13" t="s">
        <v>1799</v>
      </c>
      <c r="K31" s="13" t="s">
        <v>1800</v>
      </c>
      <c r="L31" s="13" t="s">
        <v>24</v>
      </c>
      <c r="M31" s="13" t="s">
        <v>23</v>
      </c>
      <c r="N31" s="13" t="s">
        <v>59</v>
      </c>
      <c r="O31" s="13" t="s">
        <v>59</v>
      </c>
      <c r="P31" s="13" t="s">
        <v>263</v>
      </c>
    </row>
    <row r="32" spans="1:16" ht="54" customHeight="1" x14ac:dyDescent="0.3">
      <c r="A32" s="13">
        <v>28</v>
      </c>
      <c r="B32" s="13" t="s">
        <v>416</v>
      </c>
      <c r="C32" s="13" t="s">
        <v>851</v>
      </c>
      <c r="D32" s="13" t="s">
        <v>1794</v>
      </c>
      <c r="E32" s="13" t="s">
        <v>1801</v>
      </c>
      <c r="F32" s="13" t="s">
        <v>1802</v>
      </c>
      <c r="G32" s="13" t="s">
        <v>1803</v>
      </c>
      <c r="H32" s="13" t="s">
        <v>1804</v>
      </c>
      <c r="I32" s="13" t="s">
        <v>1805</v>
      </c>
      <c r="J32" s="13" t="s">
        <v>1806</v>
      </c>
      <c r="K32" s="13" t="s">
        <v>1807</v>
      </c>
      <c r="L32" s="13" t="s">
        <v>24</v>
      </c>
      <c r="M32" s="13" t="s">
        <v>23</v>
      </c>
      <c r="N32" s="13" t="s">
        <v>59</v>
      </c>
      <c r="O32" s="13" t="s">
        <v>59</v>
      </c>
      <c r="P32" s="13" t="s">
        <v>263</v>
      </c>
    </row>
    <row r="33" spans="1:16" ht="54" customHeight="1" x14ac:dyDescent="0.3">
      <c r="A33" s="13">
        <v>29</v>
      </c>
      <c r="B33" s="13" t="s">
        <v>1589</v>
      </c>
      <c r="C33" s="13" t="s">
        <v>1808</v>
      </c>
      <c r="D33" s="13" t="s">
        <v>914</v>
      </c>
      <c r="E33" s="13" t="s">
        <v>1809</v>
      </c>
      <c r="F33" s="13" t="s">
        <v>1810</v>
      </c>
      <c r="G33" s="13" t="s">
        <v>1811</v>
      </c>
      <c r="H33" s="13" t="s">
        <v>1812</v>
      </c>
      <c r="I33" s="13" t="s">
        <v>1813</v>
      </c>
      <c r="J33" s="13" t="s">
        <v>1814</v>
      </c>
      <c r="K33" s="13" t="s">
        <v>1815</v>
      </c>
      <c r="L33" s="13" t="s">
        <v>27</v>
      </c>
      <c r="M33" s="13" t="s">
        <v>23</v>
      </c>
      <c r="N33" s="13" t="s">
        <v>59</v>
      </c>
      <c r="O33" s="13" t="s">
        <v>59</v>
      </c>
      <c r="P33" s="13" t="s">
        <v>263</v>
      </c>
    </row>
    <row r="34" spans="1:16" ht="54" customHeight="1" x14ac:dyDescent="0.3">
      <c r="A34" s="13">
        <v>30</v>
      </c>
      <c r="B34" s="13" t="s">
        <v>1589</v>
      </c>
      <c r="C34" s="13" t="s">
        <v>1808</v>
      </c>
      <c r="D34" s="13" t="s">
        <v>1809</v>
      </c>
      <c r="E34" s="13" t="s">
        <v>1816</v>
      </c>
      <c r="F34" s="13" t="s">
        <v>1817</v>
      </c>
      <c r="G34" s="13" t="s">
        <v>1818</v>
      </c>
      <c r="H34" s="13" t="s">
        <v>1819</v>
      </c>
      <c r="I34" s="13" t="s">
        <v>1820</v>
      </c>
      <c r="J34" s="13" t="s">
        <v>1821</v>
      </c>
      <c r="K34" s="13" t="s">
        <v>1822</v>
      </c>
      <c r="L34" s="13" t="s">
        <v>27</v>
      </c>
      <c r="M34" s="13" t="s">
        <v>23</v>
      </c>
      <c r="N34" s="13" t="s">
        <v>59</v>
      </c>
      <c r="O34" s="13" t="s">
        <v>59</v>
      </c>
      <c r="P34" s="13" t="s">
        <v>263</v>
      </c>
    </row>
    <row r="35" spans="1:16" ht="54" customHeight="1" x14ac:dyDescent="0.3">
      <c r="A35" s="13">
        <v>31</v>
      </c>
      <c r="B35" s="13" t="s">
        <v>416</v>
      </c>
      <c r="C35" s="13" t="s">
        <v>987</v>
      </c>
      <c r="D35" s="13" t="s">
        <v>1823</v>
      </c>
      <c r="E35" s="13" t="s">
        <v>1824</v>
      </c>
      <c r="F35" s="13" t="s">
        <v>1825</v>
      </c>
      <c r="G35" s="13" t="s">
        <v>1826</v>
      </c>
      <c r="H35" s="13" t="s">
        <v>1827</v>
      </c>
      <c r="I35" s="13" t="s">
        <v>1828</v>
      </c>
      <c r="J35" s="13" t="s">
        <v>1829</v>
      </c>
      <c r="K35" s="13" t="s">
        <v>1830</v>
      </c>
      <c r="L35" s="13" t="s">
        <v>24</v>
      </c>
      <c r="M35" s="13" t="s">
        <v>23</v>
      </c>
      <c r="N35" s="13" t="s">
        <v>59</v>
      </c>
      <c r="O35" s="13" t="s">
        <v>59</v>
      </c>
      <c r="P35" s="13" t="s">
        <v>263</v>
      </c>
    </row>
    <row r="36" spans="1:16" ht="54" customHeight="1" x14ac:dyDescent="0.3">
      <c r="A36" s="13">
        <v>32</v>
      </c>
      <c r="B36" s="13" t="s">
        <v>1589</v>
      </c>
      <c r="C36" s="13" t="s">
        <v>987</v>
      </c>
      <c r="D36" s="13" t="s">
        <v>1824</v>
      </c>
      <c r="E36" s="13" t="s">
        <v>1831</v>
      </c>
      <c r="F36" s="13" t="s">
        <v>1832</v>
      </c>
      <c r="G36" s="13" t="s">
        <v>1833</v>
      </c>
      <c r="H36" s="13" t="s">
        <v>1834</v>
      </c>
      <c r="I36" s="13" t="s">
        <v>1835</v>
      </c>
      <c r="J36" s="13" t="s">
        <v>1836</v>
      </c>
      <c r="K36" s="13" t="s">
        <v>1837</v>
      </c>
      <c r="L36" s="13" t="s">
        <v>24</v>
      </c>
      <c r="M36" s="13" t="s">
        <v>23</v>
      </c>
      <c r="N36" s="13" t="s">
        <v>59</v>
      </c>
      <c r="O36" s="13" t="s">
        <v>59</v>
      </c>
      <c r="P36" s="13" t="s">
        <v>263</v>
      </c>
    </row>
    <row r="37" spans="1:16" ht="54" customHeight="1" x14ac:dyDescent="0.3">
      <c r="A37" s="13">
        <v>33</v>
      </c>
      <c r="B37" s="13" t="s">
        <v>1589</v>
      </c>
      <c r="C37" s="13" t="s">
        <v>987</v>
      </c>
      <c r="D37" s="13" t="s">
        <v>1824</v>
      </c>
      <c r="E37" s="13" t="s">
        <v>1838</v>
      </c>
      <c r="F37" s="13" t="s">
        <v>1839</v>
      </c>
      <c r="G37" s="13" t="s">
        <v>1840</v>
      </c>
      <c r="H37" s="13" t="s">
        <v>1841</v>
      </c>
      <c r="I37" s="13" t="s">
        <v>1842</v>
      </c>
      <c r="J37" s="13" t="s">
        <v>1843</v>
      </c>
      <c r="K37" s="13" t="s">
        <v>1844</v>
      </c>
      <c r="L37" s="13" t="s">
        <v>24</v>
      </c>
      <c r="M37" s="13" t="s">
        <v>23</v>
      </c>
      <c r="N37" s="13" t="s">
        <v>59</v>
      </c>
      <c r="O37" s="13" t="s">
        <v>59</v>
      </c>
      <c r="P37" s="13" t="s">
        <v>263</v>
      </c>
    </row>
    <row r="38" spans="1:16" ht="54" customHeight="1" x14ac:dyDescent="0.3">
      <c r="A38" s="13">
        <v>34</v>
      </c>
      <c r="B38" s="13" t="s">
        <v>416</v>
      </c>
      <c r="C38" s="13" t="s">
        <v>1057</v>
      </c>
      <c r="D38" s="13" t="s">
        <v>1845</v>
      </c>
      <c r="E38" s="13" t="s">
        <v>1846</v>
      </c>
      <c r="F38" s="13" t="s">
        <v>1847</v>
      </c>
      <c r="G38" s="13" t="s">
        <v>1848</v>
      </c>
      <c r="H38" s="13" t="s">
        <v>1849</v>
      </c>
      <c r="I38" s="13" t="s">
        <v>1850</v>
      </c>
      <c r="J38" s="13" t="s">
        <v>1851</v>
      </c>
      <c r="K38" s="13" t="s">
        <v>1852</v>
      </c>
      <c r="L38" s="13" t="s">
        <v>24</v>
      </c>
      <c r="M38" s="13" t="s">
        <v>23</v>
      </c>
      <c r="N38" s="13" t="s">
        <v>59</v>
      </c>
      <c r="O38" s="13" t="s">
        <v>59</v>
      </c>
      <c r="P38" s="13" t="s">
        <v>263</v>
      </c>
    </row>
    <row r="39" spans="1:16" ht="54" customHeight="1" x14ac:dyDescent="0.3">
      <c r="A39" s="13">
        <v>35</v>
      </c>
      <c r="B39" s="13" t="s">
        <v>1589</v>
      </c>
      <c r="C39" s="13" t="s">
        <v>1057</v>
      </c>
      <c r="D39" s="13" t="s">
        <v>1846</v>
      </c>
      <c r="E39" s="13" t="s">
        <v>1853</v>
      </c>
      <c r="F39" s="13" t="s">
        <v>1854</v>
      </c>
      <c r="G39" s="13" t="s">
        <v>1855</v>
      </c>
      <c r="H39" s="13" t="s">
        <v>1856</v>
      </c>
      <c r="I39" s="13" t="s">
        <v>1857</v>
      </c>
      <c r="J39" s="13" t="s">
        <v>1858</v>
      </c>
      <c r="K39" s="13" t="s">
        <v>1859</v>
      </c>
      <c r="L39" s="13" t="s">
        <v>24</v>
      </c>
      <c r="M39" s="13" t="s">
        <v>23</v>
      </c>
      <c r="N39" s="13" t="s">
        <v>59</v>
      </c>
      <c r="O39" s="13" t="s">
        <v>59</v>
      </c>
      <c r="P39" s="13" t="s">
        <v>263</v>
      </c>
    </row>
    <row r="40" spans="1:16" ht="54" customHeight="1" x14ac:dyDescent="0.3">
      <c r="A40" s="13">
        <v>36</v>
      </c>
      <c r="B40" s="13" t="s">
        <v>186</v>
      </c>
      <c r="C40" s="13" t="s">
        <v>1125</v>
      </c>
      <c r="D40" s="13" t="s">
        <v>1860</v>
      </c>
      <c r="E40" s="13" t="s">
        <v>1139</v>
      </c>
      <c r="F40" s="13" t="s">
        <v>1861</v>
      </c>
      <c r="G40" s="13" t="s">
        <v>1862</v>
      </c>
      <c r="H40" s="13" t="s">
        <v>1863</v>
      </c>
      <c r="I40" s="13" t="s">
        <v>1864</v>
      </c>
      <c r="J40" s="13" t="s">
        <v>1865</v>
      </c>
      <c r="K40" s="13" t="s">
        <v>1866</v>
      </c>
      <c r="L40" s="13" t="s">
        <v>24</v>
      </c>
      <c r="M40" s="13" t="s">
        <v>23</v>
      </c>
      <c r="N40" s="13" t="s">
        <v>59</v>
      </c>
      <c r="O40" s="13" t="s">
        <v>59</v>
      </c>
      <c r="P40" s="13" t="s">
        <v>60</v>
      </c>
    </row>
    <row r="41" spans="1:16" ht="54" customHeight="1" x14ac:dyDescent="0.3">
      <c r="A41" s="13">
        <v>37</v>
      </c>
      <c r="B41" s="13" t="s">
        <v>1255</v>
      </c>
      <c r="C41" s="13" t="s">
        <v>1181</v>
      </c>
      <c r="D41" s="13" t="s">
        <v>1867</v>
      </c>
      <c r="E41" s="13" t="s">
        <v>1868</v>
      </c>
      <c r="F41" s="13" t="s">
        <v>1869</v>
      </c>
      <c r="G41" s="13" t="s">
        <v>1870</v>
      </c>
      <c r="H41" s="13" t="s">
        <v>1871</v>
      </c>
      <c r="I41" s="13" t="s">
        <v>1872</v>
      </c>
      <c r="J41" s="13" t="s">
        <v>1873</v>
      </c>
      <c r="K41" s="13" t="s">
        <v>1874</v>
      </c>
      <c r="L41" s="13" t="s">
        <v>24</v>
      </c>
      <c r="M41" s="13" t="s">
        <v>23</v>
      </c>
      <c r="N41" s="13" t="s">
        <v>59</v>
      </c>
      <c r="O41" s="13" t="s">
        <v>59</v>
      </c>
      <c r="P41" s="13" t="s">
        <v>101</v>
      </c>
    </row>
    <row r="42" spans="1:16" ht="54" customHeight="1" x14ac:dyDescent="0.3">
      <c r="A42" s="13">
        <v>38</v>
      </c>
      <c r="B42" s="13" t="s">
        <v>416</v>
      </c>
      <c r="C42" s="13" t="s">
        <v>1181</v>
      </c>
      <c r="D42" s="13" t="s">
        <v>1875</v>
      </c>
      <c r="E42" s="13" t="s">
        <v>1876</v>
      </c>
      <c r="F42" s="13" t="s">
        <v>1877</v>
      </c>
      <c r="G42" s="13" t="s">
        <v>1878</v>
      </c>
      <c r="H42" s="13" t="s">
        <v>1879</v>
      </c>
      <c r="I42" s="13" t="s">
        <v>1880</v>
      </c>
      <c r="J42" s="13" t="s">
        <v>1881</v>
      </c>
      <c r="K42" s="13" t="s">
        <v>1882</v>
      </c>
      <c r="L42" s="13" t="s">
        <v>24</v>
      </c>
      <c r="M42" s="13" t="s">
        <v>23</v>
      </c>
      <c r="N42" s="13" t="s">
        <v>59</v>
      </c>
      <c r="O42" s="13" t="s">
        <v>59</v>
      </c>
      <c r="P42" s="13" t="s">
        <v>101</v>
      </c>
    </row>
    <row r="43" spans="1:16" ht="54" customHeight="1" x14ac:dyDescent="0.3">
      <c r="A43" s="13">
        <v>39</v>
      </c>
      <c r="B43" s="13" t="s">
        <v>416</v>
      </c>
      <c r="C43" s="13" t="s">
        <v>1181</v>
      </c>
      <c r="D43" s="13" t="s">
        <v>1883</v>
      </c>
      <c r="E43" s="13" t="s">
        <v>1884</v>
      </c>
      <c r="F43" s="13" t="s">
        <v>1885</v>
      </c>
      <c r="G43" s="13" t="s">
        <v>1886</v>
      </c>
      <c r="H43" s="13" t="s">
        <v>1887</v>
      </c>
      <c r="I43" s="13" t="s">
        <v>1888</v>
      </c>
      <c r="J43" s="13" t="s">
        <v>1889</v>
      </c>
      <c r="K43" s="13" t="s">
        <v>1890</v>
      </c>
      <c r="L43" s="13" t="s">
        <v>27</v>
      </c>
      <c r="M43" s="13" t="s">
        <v>23</v>
      </c>
      <c r="N43" s="13" t="s">
        <v>59</v>
      </c>
      <c r="O43" s="13" t="s">
        <v>59</v>
      </c>
      <c r="P43" s="13" t="s">
        <v>101</v>
      </c>
    </row>
    <row r="44" spans="1:16" ht="54" customHeight="1" x14ac:dyDescent="0.3">
      <c r="A44" s="13">
        <v>40</v>
      </c>
      <c r="B44" s="13" t="s">
        <v>1255</v>
      </c>
      <c r="C44" s="13" t="s">
        <v>1252</v>
      </c>
      <c r="D44" s="13" t="s">
        <v>1891</v>
      </c>
      <c r="E44" s="13" t="s">
        <v>1892</v>
      </c>
      <c r="F44" s="13" t="s">
        <v>1893</v>
      </c>
      <c r="G44" s="13" t="s">
        <v>1894</v>
      </c>
      <c r="H44" s="13" t="s">
        <v>1895</v>
      </c>
      <c r="I44" s="13" t="s">
        <v>1896</v>
      </c>
      <c r="J44" s="13" t="s">
        <v>1897</v>
      </c>
      <c r="K44" s="13" t="s">
        <v>1898</v>
      </c>
      <c r="L44" s="13" t="s">
        <v>24</v>
      </c>
      <c r="M44" s="13" t="s">
        <v>23</v>
      </c>
      <c r="N44" s="13" t="s">
        <v>59</v>
      </c>
      <c r="O44" s="13" t="s">
        <v>59</v>
      </c>
      <c r="P44" s="13" t="s">
        <v>101</v>
      </c>
    </row>
    <row r="45" spans="1:16" ht="54" customHeight="1" x14ac:dyDescent="0.3">
      <c r="A45" s="13">
        <v>41</v>
      </c>
      <c r="B45" s="13" t="s">
        <v>186</v>
      </c>
      <c r="C45" s="13" t="s">
        <v>1899</v>
      </c>
      <c r="D45" s="13" t="s">
        <v>1900</v>
      </c>
      <c r="E45" s="13" t="s">
        <v>1901</v>
      </c>
      <c r="F45" s="13" t="s">
        <v>1902</v>
      </c>
      <c r="G45" s="13" t="s">
        <v>1903</v>
      </c>
      <c r="H45" s="13" t="s">
        <v>1904</v>
      </c>
      <c r="I45" s="13" t="s">
        <v>1905</v>
      </c>
      <c r="J45" s="13" t="s">
        <v>1906</v>
      </c>
      <c r="K45" s="13" t="s">
        <v>1907</v>
      </c>
      <c r="L45" s="13" t="s">
        <v>27</v>
      </c>
      <c r="M45" s="13" t="s">
        <v>23</v>
      </c>
      <c r="N45" s="13" t="s">
        <v>59</v>
      </c>
      <c r="O45" s="13" t="s">
        <v>59</v>
      </c>
      <c r="P45" s="13" t="s">
        <v>101</v>
      </c>
    </row>
    <row r="46" spans="1:16" ht="54" customHeight="1" x14ac:dyDescent="0.3">
      <c r="A46" s="13">
        <v>42</v>
      </c>
      <c r="B46" s="13" t="s">
        <v>1591</v>
      </c>
      <c r="C46" s="13" t="s">
        <v>1908</v>
      </c>
      <c r="D46" s="13" t="s">
        <v>1909</v>
      </c>
      <c r="E46" s="13" t="s">
        <v>1910</v>
      </c>
      <c r="F46" s="13" t="s">
        <v>1911</v>
      </c>
      <c r="G46" s="13" t="s">
        <v>1912</v>
      </c>
      <c r="H46" s="13" t="s">
        <v>1913</v>
      </c>
      <c r="I46" s="13" t="s">
        <v>1914</v>
      </c>
      <c r="J46" s="13" t="s">
        <v>1915</v>
      </c>
      <c r="K46" s="13" t="s">
        <v>1916</v>
      </c>
      <c r="L46" s="13" t="s">
        <v>27</v>
      </c>
      <c r="M46" s="13" t="s">
        <v>23</v>
      </c>
      <c r="N46" s="13" t="s">
        <v>59</v>
      </c>
      <c r="O46" s="13" t="s">
        <v>59</v>
      </c>
      <c r="P46" s="13" t="s">
        <v>101</v>
      </c>
    </row>
    <row r="47" spans="1:16" ht="54" customHeight="1" x14ac:dyDescent="0.3">
      <c r="A47" s="13">
        <v>47</v>
      </c>
      <c r="B47" s="13" t="s">
        <v>54</v>
      </c>
      <c r="C47" s="13" t="s">
        <v>52</v>
      </c>
      <c r="D47" s="13" t="s">
        <v>1607</v>
      </c>
      <c r="E47" s="13" t="s">
        <v>1917</v>
      </c>
      <c r="F47" s="13" t="s">
        <v>1918</v>
      </c>
      <c r="G47" s="13" t="s">
        <v>1919</v>
      </c>
      <c r="H47" s="13" t="s">
        <v>1920</v>
      </c>
      <c r="I47" s="13" t="s">
        <v>1921</v>
      </c>
      <c r="J47" s="13" t="s">
        <v>1922</v>
      </c>
      <c r="K47" s="13" t="s">
        <v>1923</v>
      </c>
      <c r="L47" s="13" t="s">
        <v>24</v>
      </c>
      <c r="M47" s="13" t="s">
        <v>23</v>
      </c>
      <c r="N47" s="13" t="s">
        <v>59</v>
      </c>
      <c r="O47" s="13" t="s">
        <v>59</v>
      </c>
      <c r="P47" s="13" t="s">
        <v>108</v>
      </c>
    </row>
    <row r="48" spans="1:16" ht="54" customHeight="1" x14ac:dyDescent="0.3">
      <c r="A48" s="13">
        <v>48</v>
      </c>
      <c r="B48" s="13" t="s">
        <v>54</v>
      </c>
      <c r="C48" s="13" t="s">
        <v>52</v>
      </c>
      <c r="D48" s="13" t="s">
        <v>1607</v>
      </c>
      <c r="E48" s="13" t="s">
        <v>1917</v>
      </c>
      <c r="F48" s="13" t="s">
        <v>1924</v>
      </c>
      <c r="G48" s="13" t="s">
        <v>1925</v>
      </c>
      <c r="H48" s="13" t="s">
        <v>1926</v>
      </c>
      <c r="I48" s="13" t="s">
        <v>1927</v>
      </c>
      <c r="J48" s="13" t="s">
        <v>1928</v>
      </c>
      <c r="K48" s="13" t="s">
        <v>1929</v>
      </c>
      <c r="L48" s="13" t="s">
        <v>24</v>
      </c>
      <c r="M48" s="13" t="s">
        <v>23</v>
      </c>
      <c r="N48" s="13" t="s">
        <v>59</v>
      </c>
      <c r="O48" s="13" t="s">
        <v>59</v>
      </c>
      <c r="P48" s="13" t="s">
        <v>108</v>
      </c>
    </row>
    <row r="49" spans="1:16" ht="54" customHeight="1" x14ac:dyDescent="0.3">
      <c r="A49" s="13">
        <v>49</v>
      </c>
      <c r="B49" s="13" t="s">
        <v>1588</v>
      </c>
      <c r="C49" s="13" t="s">
        <v>1608</v>
      </c>
      <c r="D49" s="13" t="s">
        <v>1608</v>
      </c>
      <c r="E49" s="13" t="s">
        <v>1930</v>
      </c>
      <c r="F49" s="13" t="s">
        <v>1931</v>
      </c>
      <c r="G49" s="13" t="s">
        <v>1932</v>
      </c>
      <c r="H49" s="13" t="s">
        <v>1933</v>
      </c>
      <c r="I49" s="13" t="s">
        <v>1934</v>
      </c>
      <c r="J49" s="13" t="s">
        <v>1935</v>
      </c>
      <c r="K49" s="13" t="s">
        <v>1936</v>
      </c>
      <c r="L49" s="13" t="s">
        <v>24</v>
      </c>
      <c r="M49" s="13" t="s">
        <v>23</v>
      </c>
      <c r="N49" s="13" t="s">
        <v>59</v>
      </c>
      <c r="O49" s="13" t="s">
        <v>59</v>
      </c>
      <c r="P49" s="13" t="s">
        <v>161</v>
      </c>
    </row>
    <row r="50" spans="1:16" ht="54" customHeight="1" x14ac:dyDescent="0.3">
      <c r="A50" s="13">
        <v>50</v>
      </c>
      <c r="B50" s="13" t="s">
        <v>416</v>
      </c>
      <c r="C50" s="13" t="s">
        <v>170</v>
      </c>
      <c r="D50" s="13" t="s">
        <v>171</v>
      </c>
      <c r="E50" s="13" t="s">
        <v>1937</v>
      </c>
      <c r="F50" s="13" t="s">
        <v>1938</v>
      </c>
      <c r="G50" s="13" t="s">
        <v>1939</v>
      </c>
      <c r="H50" s="13" t="s">
        <v>1940</v>
      </c>
      <c r="I50" s="13" t="s">
        <v>1941</v>
      </c>
      <c r="J50" s="13" t="s">
        <v>1942</v>
      </c>
      <c r="K50" s="13" t="s">
        <v>1943</v>
      </c>
      <c r="L50" s="13" t="s">
        <v>24</v>
      </c>
      <c r="M50" s="13" t="s">
        <v>23</v>
      </c>
      <c r="N50" s="13" t="s">
        <v>59</v>
      </c>
      <c r="O50" s="13" t="s">
        <v>59</v>
      </c>
      <c r="P50" s="13" t="s">
        <v>228</v>
      </c>
    </row>
    <row r="51" spans="1:16" ht="54" customHeight="1" x14ac:dyDescent="0.3">
      <c r="A51" s="13">
        <v>51</v>
      </c>
      <c r="B51" s="13" t="s">
        <v>416</v>
      </c>
      <c r="C51" s="13" t="s">
        <v>170</v>
      </c>
      <c r="D51" s="13" t="s">
        <v>178</v>
      </c>
      <c r="E51" s="13" t="s">
        <v>1944</v>
      </c>
      <c r="F51" s="13" t="s">
        <v>1945</v>
      </c>
      <c r="G51" s="13" t="s">
        <v>1946</v>
      </c>
      <c r="H51" s="13" t="s">
        <v>1947</v>
      </c>
      <c r="I51" s="13" t="s">
        <v>1948</v>
      </c>
      <c r="J51" s="13" t="s">
        <v>1949</v>
      </c>
      <c r="K51" s="13" t="s">
        <v>1950</v>
      </c>
      <c r="L51" s="13" t="s">
        <v>24</v>
      </c>
      <c r="M51" s="13" t="s">
        <v>23</v>
      </c>
      <c r="N51" s="13" t="s">
        <v>59</v>
      </c>
      <c r="O51" s="13" t="s">
        <v>59</v>
      </c>
      <c r="P51" s="13" t="s">
        <v>246</v>
      </c>
    </row>
    <row r="52" spans="1:16" ht="54" customHeight="1" x14ac:dyDescent="0.3">
      <c r="A52" s="13">
        <v>52</v>
      </c>
      <c r="B52" s="13" t="s">
        <v>416</v>
      </c>
      <c r="C52" s="13" t="s">
        <v>170</v>
      </c>
      <c r="D52" s="13" t="s">
        <v>178</v>
      </c>
      <c r="E52" s="13" t="s">
        <v>258</v>
      </c>
      <c r="F52" s="13" t="s">
        <v>1951</v>
      </c>
      <c r="G52" s="13" t="s">
        <v>1952</v>
      </c>
      <c r="H52" s="13" t="s">
        <v>1953</v>
      </c>
      <c r="I52" s="13" t="s">
        <v>1954</v>
      </c>
      <c r="J52" s="13" t="s">
        <v>1955</v>
      </c>
      <c r="K52" s="13" t="s">
        <v>1956</v>
      </c>
      <c r="L52" s="13" t="s">
        <v>24</v>
      </c>
      <c r="M52" s="13" t="s">
        <v>23</v>
      </c>
      <c r="N52" s="13" t="s">
        <v>59</v>
      </c>
      <c r="O52" s="13" t="s">
        <v>59</v>
      </c>
      <c r="P52" s="13" t="s">
        <v>263</v>
      </c>
    </row>
    <row r="53" spans="1:16" ht="54" customHeight="1" x14ac:dyDescent="0.3">
      <c r="A53" s="13">
        <v>53</v>
      </c>
      <c r="B53" s="13" t="s">
        <v>416</v>
      </c>
      <c r="C53" s="13" t="s">
        <v>170</v>
      </c>
      <c r="D53" s="13" t="s">
        <v>1957</v>
      </c>
      <c r="E53" s="13" t="s">
        <v>191</v>
      </c>
      <c r="F53" s="13" t="s">
        <v>1958</v>
      </c>
      <c r="G53" s="13" t="s">
        <v>1959</v>
      </c>
      <c r="H53" s="13" t="s">
        <v>1960</v>
      </c>
      <c r="I53" s="13" t="s">
        <v>1961</v>
      </c>
      <c r="J53" s="13" t="s">
        <v>1962</v>
      </c>
      <c r="K53" s="13" t="s">
        <v>1963</v>
      </c>
      <c r="L53" s="13" t="s">
        <v>24</v>
      </c>
      <c r="M53" s="13" t="s">
        <v>23</v>
      </c>
      <c r="N53" s="13" t="s">
        <v>59</v>
      </c>
      <c r="O53" s="13" t="s">
        <v>59</v>
      </c>
      <c r="P53" s="13" t="s">
        <v>60</v>
      </c>
    </row>
    <row r="54" spans="1:16" ht="54" customHeight="1" x14ac:dyDescent="0.3">
      <c r="A54" s="13">
        <v>54</v>
      </c>
      <c r="B54" s="13" t="s">
        <v>416</v>
      </c>
      <c r="C54" s="13" t="s">
        <v>170</v>
      </c>
      <c r="D54" s="13" t="s">
        <v>1964</v>
      </c>
      <c r="E54" s="13" t="s">
        <v>198</v>
      </c>
      <c r="F54" s="13" t="s">
        <v>1965</v>
      </c>
      <c r="G54" s="13" t="s">
        <v>1966</v>
      </c>
      <c r="H54" s="13" t="s">
        <v>1967</v>
      </c>
      <c r="I54" s="13" t="s">
        <v>1968</v>
      </c>
      <c r="J54" s="13" t="s">
        <v>1969</v>
      </c>
      <c r="K54" s="13" t="s">
        <v>1970</v>
      </c>
      <c r="L54" s="13" t="s">
        <v>24</v>
      </c>
      <c r="M54" s="13" t="s">
        <v>23</v>
      </c>
      <c r="N54" s="13" t="s">
        <v>59</v>
      </c>
      <c r="O54" s="13" t="s">
        <v>59</v>
      </c>
      <c r="P54" s="13" t="s">
        <v>60</v>
      </c>
    </row>
    <row r="55" spans="1:16" ht="54" customHeight="1" x14ac:dyDescent="0.3">
      <c r="A55" s="13">
        <v>55</v>
      </c>
      <c r="B55" s="13" t="s">
        <v>416</v>
      </c>
      <c r="C55" s="13" t="s">
        <v>170</v>
      </c>
      <c r="D55" s="13" t="s">
        <v>1964</v>
      </c>
      <c r="E55" s="13" t="s">
        <v>321</v>
      </c>
      <c r="F55" s="13" t="s">
        <v>1971</v>
      </c>
      <c r="G55" s="13" t="s">
        <v>1972</v>
      </c>
      <c r="H55" s="13" t="s">
        <v>1973</v>
      </c>
      <c r="I55" s="13" t="s">
        <v>1974</v>
      </c>
      <c r="J55" s="13" t="s">
        <v>1975</v>
      </c>
      <c r="K55" s="13" t="s">
        <v>1976</v>
      </c>
      <c r="L55" s="13" t="s">
        <v>24</v>
      </c>
      <c r="M55" s="13" t="s">
        <v>23</v>
      </c>
      <c r="N55" s="13" t="s">
        <v>59</v>
      </c>
      <c r="O55" s="13" t="s">
        <v>59</v>
      </c>
      <c r="P55" s="13" t="s">
        <v>263</v>
      </c>
    </row>
    <row r="56" spans="1:16" ht="54" customHeight="1" x14ac:dyDescent="0.3">
      <c r="A56" s="13">
        <v>56</v>
      </c>
      <c r="B56" s="13" t="s">
        <v>1589</v>
      </c>
      <c r="C56" s="13" t="s">
        <v>170</v>
      </c>
      <c r="D56" s="13" t="s">
        <v>1977</v>
      </c>
      <c r="E56" s="13" t="s">
        <v>1978</v>
      </c>
      <c r="F56" s="13" t="s">
        <v>1979</v>
      </c>
      <c r="G56" s="13" t="s">
        <v>1980</v>
      </c>
      <c r="H56" s="13" t="s">
        <v>1981</v>
      </c>
      <c r="I56" s="13" t="s">
        <v>1982</v>
      </c>
      <c r="J56" s="13" t="s">
        <v>1983</v>
      </c>
      <c r="K56" s="13" t="s">
        <v>1984</v>
      </c>
      <c r="L56" s="13" t="s">
        <v>27</v>
      </c>
      <c r="M56" s="13" t="s">
        <v>23</v>
      </c>
      <c r="N56" s="13" t="s">
        <v>59</v>
      </c>
      <c r="O56" s="13" t="s">
        <v>59</v>
      </c>
      <c r="P56" s="13" t="s">
        <v>60</v>
      </c>
    </row>
    <row r="57" spans="1:16" ht="54" customHeight="1" x14ac:dyDescent="0.3">
      <c r="A57" s="13">
        <v>57</v>
      </c>
      <c r="B57" s="13" t="s">
        <v>1589</v>
      </c>
      <c r="C57" s="13" t="s">
        <v>170</v>
      </c>
      <c r="D57" s="13" t="s">
        <v>1985</v>
      </c>
      <c r="E57" s="13" t="s">
        <v>1653</v>
      </c>
      <c r="F57" s="13" t="s">
        <v>1986</v>
      </c>
      <c r="G57" s="13" t="s">
        <v>1987</v>
      </c>
      <c r="H57" s="13" t="s">
        <v>1988</v>
      </c>
      <c r="I57" s="13" t="s">
        <v>1989</v>
      </c>
      <c r="J57" s="13" t="s">
        <v>1990</v>
      </c>
      <c r="K57" s="13" t="s">
        <v>1991</v>
      </c>
      <c r="L57" s="13" t="s">
        <v>27</v>
      </c>
      <c r="M57" s="13" t="s">
        <v>23</v>
      </c>
      <c r="N57" s="13" t="s">
        <v>59</v>
      </c>
      <c r="O57" s="13" t="s">
        <v>59</v>
      </c>
      <c r="P57" s="13" t="s">
        <v>60</v>
      </c>
    </row>
    <row r="58" spans="1:16" ht="54" customHeight="1" x14ac:dyDescent="0.3">
      <c r="A58" s="13">
        <v>58</v>
      </c>
      <c r="B58" s="13" t="s">
        <v>1589</v>
      </c>
      <c r="C58" s="13" t="s">
        <v>170</v>
      </c>
      <c r="D58" s="13" t="s">
        <v>1992</v>
      </c>
      <c r="E58" s="13" t="s">
        <v>217</v>
      </c>
      <c r="F58" s="13" t="s">
        <v>1993</v>
      </c>
      <c r="G58" s="13" t="s">
        <v>1994</v>
      </c>
      <c r="H58" s="13" t="s">
        <v>1995</v>
      </c>
      <c r="I58" s="13" t="s">
        <v>1996</v>
      </c>
      <c r="J58" s="13" t="s">
        <v>1997</v>
      </c>
      <c r="K58" s="13" t="s">
        <v>1998</v>
      </c>
      <c r="L58" s="13" t="s">
        <v>27</v>
      </c>
      <c r="M58" s="13" t="s">
        <v>23</v>
      </c>
      <c r="N58" s="13" t="s">
        <v>59</v>
      </c>
      <c r="O58" s="13" t="s">
        <v>59</v>
      </c>
      <c r="P58" s="13" t="s">
        <v>228</v>
      </c>
    </row>
    <row r="59" spans="1:16" ht="54" customHeight="1" x14ac:dyDescent="0.3">
      <c r="A59" s="13">
        <v>59</v>
      </c>
      <c r="B59" s="13" t="s">
        <v>1591</v>
      </c>
      <c r="C59" s="13" t="s">
        <v>170</v>
      </c>
      <c r="D59" s="13" t="s">
        <v>258</v>
      </c>
      <c r="E59" s="13" t="s">
        <v>191</v>
      </c>
      <c r="F59" s="13" t="s">
        <v>1999</v>
      </c>
      <c r="G59" s="13" t="s">
        <v>2000</v>
      </c>
      <c r="H59" s="13" t="s">
        <v>2001</v>
      </c>
      <c r="I59" s="13" t="s">
        <v>2002</v>
      </c>
      <c r="J59" s="13" t="s">
        <v>2003</v>
      </c>
      <c r="K59" s="13" t="s">
        <v>2004</v>
      </c>
      <c r="L59" s="13" t="s">
        <v>27</v>
      </c>
      <c r="M59" s="13" t="s">
        <v>23</v>
      </c>
      <c r="N59" s="13" t="s">
        <v>59</v>
      </c>
      <c r="O59" s="13" t="s">
        <v>59</v>
      </c>
      <c r="P59" s="13" t="s">
        <v>101</v>
      </c>
    </row>
    <row r="60" spans="1:16" ht="54" customHeight="1" x14ac:dyDescent="0.3">
      <c r="A60" s="13">
        <v>60</v>
      </c>
      <c r="B60" s="13" t="s">
        <v>186</v>
      </c>
      <c r="C60" s="13" t="s">
        <v>170</v>
      </c>
      <c r="D60" s="13" t="s">
        <v>2005</v>
      </c>
      <c r="E60" s="13" t="s">
        <v>258</v>
      </c>
      <c r="F60" s="13" t="s">
        <v>2006</v>
      </c>
      <c r="G60" s="13" t="s">
        <v>2007</v>
      </c>
      <c r="H60" s="13" t="s">
        <v>2008</v>
      </c>
      <c r="I60" s="13" t="s">
        <v>2009</v>
      </c>
      <c r="J60" s="13" t="s">
        <v>2010</v>
      </c>
      <c r="K60" s="13" t="s">
        <v>2011</v>
      </c>
      <c r="L60" s="13" t="s">
        <v>24</v>
      </c>
      <c r="M60" s="13" t="s">
        <v>23</v>
      </c>
      <c r="N60" s="13" t="s">
        <v>59</v>
      </c>
      <c r="O60" s="13" t="s">
        <v>59</v>
      </c>
      <c r="P60" s="13" t="s">
        <v>101</v>
      </c>
    </row>
    <row r="61" spans="1:16" ht="54" customHeight="1" x14ac:dyDescent="0.3">
      <c r="A61" s="13">
        <v>12</v>
      </c>
      <c r="B61" s="13" t="s">
        <v>416</v>
      </c>
      <c r="C61" s="13" t="s">
        <v>395</v>
      </c>
      <c r="D61" s="13" t="s">
        <v>396</v>
      </c>
      <c r="E61" s="13" t="s">
        <v>1674</v>
      </c>
      <c r="F61" s="13" t="s">
        <v>2012</v>
      </c>
      <c r="G61" s="13" t="s">
        <v>2013</v>
      </c>
      <c r="H61" s="13" t="s">
        <v>2014</v>
      </c>
      <c r="I61" s="13" t="s">
        <v>2015</v>
      </c>
      <c r="J61" s="13" t="s">
        <v>2016</v>
      </c>
      <c r="K61" s="13" t="s">
        <v>2017</v>
      </c>
      <c r="L61" s="13" t="s">
        <v>24</v>
      </c>
      <c r="M61" s="13" t="s">
        <v>23</v>
      </c>
      <c r="N61" s="13" t="s">
        <v>59</v>
      </c>
      <c r="O61" s="13" t="s">
        <v>59</v>
      </c>
      <c r="P61" s="13" t="s">
        <v>60</v>
      </c>
    </row>
    <row r="62" spans="1:16" ht="54" customHeight="1" x14ac:dyDescent="0.3">
      <c r="A62" s="13">
        <v>13</v>
      </c>
      <c r="B62" s="13" t="s">
        <v>416</v>
      </c>
      <c r="C62" s="13" t="s">
        <v>395</v>
      </c>
      <c r="D62" s="13" t="s">
        <v>1681</v>
      </c>
      <c r="E62" s="13" t="s">
        <v>1682</v>
      </c>
      <c r="F62" s="13" t="s">
        <v>2018</v>
      </c>
      <c r="G62" s="13" t="s">
        <v>2019</v>
      </c>
      <c r="H62" s="13" t="s">
        <v>2020</v>
      </c>
      <c r="I62" s="13" t="s">
        <v>2021</v>
      </c>
      <c r="J62" s="13" t="s">
        <v>2022</v>
      </c>
      <c r="K62" s="13" t="s">
        <v>2023</v>
      </c>
      <c r="L62" s="13" t="s">
        <v>24</v>
      </c>
      <c r="M62" s="13" t="s">
        <v>23</v>
      </c>
      <c r="N62" s="13" t="s">
        <v>59</v>
      </c>
      <c r="O62" s="13" t="s">
        <v>59</v>
      </c>
      <c r="P62" s="13" t="s">
        <v>263</v>
      </c>
    </row>
    <row r="63" spans="1:16" ht="54" customHeight="1" x14ac:dyDescent="0.3">
      <c r="A63" s="13">
        <v>14</v>
      </c>
      <c r="B63" s="13" t="s">
        <v>1591</v>
      </c>
      <c r="C63" s="13" t="s">
        <v>467</v>
      </c>
      <c r="D63" s="13" t="s">
        <v>2024</v>
      </c>
      <c r="E63" s="13" t="s">
        <v>2025</v>
      </c>
      <c r="F63" s="13" t="s">
        <v>2026</v>
      </c>
      <c r="G63" s="13" t="s">
        <v>2027</v>
      </c>
      <c r="H63" s="13" t="s">
        <v>2028</v>
      </c>
      <c r="I63" s="13" t="s">
        <v>2029</v>
      </c>
      <c r="J63" s="13" t="s">
        <v>2030</v>
      </c>
      <c r="K63" s="13" t="s">
        <v>2031</v>
      </c>
      <c r="L63" s="13" t="s">
        <v>24</v>
      </c>
      <c r="M63" s="13" t="s">
        <v>23</v>
      </c>
      <c r="N63" s="13" t="s">
        <v>59</v>
      </c>
      <c r="O63" s="13" t="s">
        <v>59</v>
      </c>
      <c r="P63" s="13" t="s">
        <v>60</v>
      </c>
    </row>
    <row r="64" spans="1:16" ht="54" customHeight="1" x14ac:dyDescent="0.3">
      <c r="A64" s="13">
        <v>15</v>
      </c>
      <c r="B64" s="13" t="s">
        <v>186</v>
      </c>
      <c r="C64" s="13" t="s">
        <v>530</v>
      </c>
      <c r="D64" s="13" t="s">
        <v>1703</v>
      </c>
      <c r="E64" s="13" t="s">
        <v>2032</v>
      </c>
      <c r="F64" s="13" t="s">
        <v>2033</v>
      </c>
      <c r="G64" s="13" t="s">
        <v>2034</v>
      </c>
      <c r="H64" s="13" t="s">
        <v>2035</v>
      </c>
      <c r="I64" s="13" t="s">
        <v>2036</v>
      </c>
      <c r="J64" s="13" t="s">
        <v>2037</v>
      </c>
      <c r="K64" s="13" t="s">
        <v>2038</v>
      </c>
      <c r="L64" s="13" t="s">
        <v>27</v>
      </c>
      <c r="M64" s="13" t="s">
        <v>23</v>
      </c>
      <c r="N64" s="13" t="s">
        <v>59</v>
      </c>
      <c r="O64" s="13" t="s">
        <v>59</v>
      </c>
      <c r="P64" s="13" t="s">
        <v>81</v>
      </c>
    </row>
    <row r="65" spans="1:16" ht="54" customHeight="1" x14ac:dyDescent="0.3">
      <c r="A65" s="13">
        <v>16</v>
      </c>
      <c r="B65" s="13" t="s">
        <v>416</v>
      </c>
      <c r="C65" s="13" t="s">
        <v>578</v>
      </c>
      <c r="D65" s="13" t="s">
        <v>579</v>
      </c>
      <c r="E65" s="13" t="s">
        <v>2039</v>
      </c>
      <c r="F65" s="13" t="s">
        <v>2040</v>
      </c>
      <c r="G65" s="13" t="s">
        <v>2041</v>
      </c>
      <c r="H65" s="13" t="s">
        <v>2042</v>
      </c>
      <c r="I65" s="13" t="s">
        <v>2043</v>
      </c>
      <c r="J65" s="13" t="s">
        <v>2044</v>
      </c>
      <c r="K65" s="13" t="s">
        <v>2045</v>
      </c>
      <c r="L65" s="13" t="s">
        <v>24</v>
      </c>
      <c r="M65" s="13" t="s">
        <v>23</v>
      </c>
      <c r="N65" s="13" t="s">
        <v>59</v>
      </c>
      <c r="O65" s="13" t="s">
        <v>59</v>
      </c>
      <c r="P65" s="13" t="s">
        <v>263</v>
      </c>
    </row>
    <row r="66" spans="1:16" ht="54" customHeight="1" x14ac:dyDescent="0.3">
      <c r="A66" s="13">
        <v>17</v>
      </c>
      <c r="B66" s="13" t="s">
        <v>1589</v>
      </c>
      <c r="C66" s="13" t="s">
        <v>578</v>
      </c>
      <c r="D66" s="13" t="s">
        <v>591</v>
      </c>
      <c r="E66" s="13" t="s">
        <v>2046</v>
      </c>
      <c r="F66" s="13" t="s">
        <v>2047</v>
      </c>
      <c r="G66" s="13" t="s">
        <v>2048</v>
      </c>
      <c r="H66" s="13" t="s">
        <v>2049</v>
      </c>
      <c r="I66" s="13" t="s">
        <v>2050</v>
      </c>
      <c r="J66" s="13" t="s">
        <v>2051</v>
      </c>
      <c r="K66" s="13" t="s">
        <v>2052</v>
      </c>
      <c r="L66" s="13" t="s">
        <v>27</v>
      </c>
      <c r="M66" s="13" t="s">
        <v>23</v>
      </c>
      <c r="N66" s="13" t="s">
        <v>59</v>
      </c>
      <c r="O66" s="13" t="s">
        <v>59</v>
      </c>
      <c r="P66" s="13" t="s">
        <v>60</v>
      </c>
    </row>
    <row r="67" spans="1:16" ht="54" customHeight="1" x14ac:dyDescent="0.3">
      <c r="A67" s="13">
        <v>18</v>
      </c>
      <c r="B67" s="13" t="s">
        <v>1589</v>
      </c>
      <c r="C67" s="13" t="s">
        <v>578</v>
      </c>
      <c r="D67" s="13" t="s">
        <v>597</v>
      </c>
      <c r="E67" s="13" t="s">
        <v>2053</v>
      </c>
      <c r="F67" s="13" t="s">
        <v>2054</v>
      </c>
      <c r="G67" s="13" t="s">
        <v>2055</v>
      </c>
      <c r="H67" s="13" t="s">
        <v>2056</v>
      </c>
      <c r="I67" s="13" t="s">
        <v>2057</v>
      </c>
      <c r="J67" s="13" t="s">
        <v>2058</v>
      </c>
      <c r="K67" s="13" t="s">
        <v>2059</v>
      </c>
      <c r="L67" s="13" t="s">
        <v>27</v>
      </c>
      <c r="M67" s="13" t="s">
        <v>23</v>
      </c>
      <c r="N67" s="13" t="s">
        <v>59</v>
      </c>
      <c r="O67" s="13" t="s">
        <v>59</v>
      </c>
      <c r="P67" s="13" t="s">
        <v>60</v>
      </c>
    </row>
    <row r="68" spans="1:16" ht="54" customHeight="1" x14ac:dyDescent="0.3">
      <c r="A68" s="13">
        <v>19</v>
      </c>
      <c r="B68" s="13" t="s">
        <v>1590</v>
      </c>
      <c r="C68" s="13" t="s">
        <v>647</v>
      </c>
      <c r="D68" s="13" t="s">
        <v>1741</v>
      </c>
      <c r="E68" s="13" t="s">
        <v>2060</v>
      </c>
      <c r="F68" s="13" t="s">
        <v>2061</v>
      </c>
      <c r="G68" s="13" t="s">
        <v>2062</v>
      </c>
      <c r="H68" s="13" t="s">
        <v>2063</v>
      </c>
      <c r="I68" s="13" t="s">
        <v>2064</v>
      </c>
      <c r="J68" s="13" t="s">
        <v>2065</v>
      </c>
      <c r="K68" s="13" t="s">
        <v>2066</v>
      </c>
      <c r="L68" s="13" t="s">
        <v>24</v>
      </c>
      <c r="M68" s="13" t="s">
        <v>23</v>
      </c>
      <c r="N68" s="13" t="s">
        <v>59</v>
      </c>
      <c r="O68" s="13" t="s">
        <v>59</v>
      </c>
      <c r="P68" s="13" t="s">
        <v>263</v>
      </c>
    </row>
    <row r="69" spans="1:16" ht="54" customHeight="1" x14ac:dyDescent="0.3">
      <c r="A69" s="13">
        <v>20</v>
      </c>
      <c r="B69" s="13" t="s">
        <v>1590</v>
      </c>
      <c r="C69" s="13" t="s">
        <v>707</v>
      </c>
      <c r="D69" s="13" t="s">
        <v>2067</v>
      </c>
      <c r="E69" s="13" t="s">
        <v>1756</v>
      </c>
      <c r="F69" s="13" t="s">
        <v>2068</v>
      </c>
      <c r="G69" s="13" t="s">
        <v>2069</v>
      </c>
      <c r="H69" s="13" t="s">
        <v>2070</v>
      </c>
      <c r="I69" s="13" t="s">
        <v>2071</v>
      </c>
      <c r="J69" s="13" t="s">
        <v>2072</v>
      </c>
      <c r="K69" s="13" t="s">
        <v>2073</v>
      </c>
      <c r="L69" s="13" t="s">
        <v>24</v>
      </c>
      <c r="M69" s="13" t="s">
        <v>23</v>
      </c>
      <c r="N69" s="13" t="s">
        <v>59</v>
      </c>
      <c r="O69" s="13" t="s">
        <v>59</v>
      </c>
      <c r="P69" s="13" t="s">
        <v>60</v>
      </c>
    </row>
    <row r="70" spans="1:16" ht="54" customHeight="1" x14ac:dyDescent="0.3">
      <c r="A70" s="13">
        <v>21</v>
      </c>
      <c r="B70" s="13" t="s">
        <v>1589</v>
      </c>
      <c r="C70" s="13" t="s">
        <v>779</v>
      </c>
      <c r="D70" s="13" t="s">
        <v>2074</v>
      </c>
      <c r="E70" s="13" t="s">
        <v>2075</v>
      </c>
      <c r="F70" s="13" t="s">
        <v>2076</v>
      </c>
      <c r="G70" s="13" t="s">
        <v>2077</v>
      </c>
      <c r="H70" s="13" t="s">
        <v>2078</v>
      </c>
      <c r="I70" s="13" t="s">
        <v>2079</v>
      </c>
      <c r="J70" s="13" t="s">
        <v>2080</v>
      </c>
      <c r="K70" s="13" t="s">
        <v>2081</v>
      </c>
      <c r="L70" s="13" t="s">
        <v>24</v>
      </c>
      <c r="M70" s="13" t="s">
        <v>23</v>
      </c>
      <c r="N70" s="13" t="s">
        <v>59</v>
      </c>
      <c r="O70" s="13" t="s">
        <v>59</v>
      </c>
      <c r="P70" s="13" t="s">
        <v>263</v>
      </c>
    </row>
    <row r="71" spans="1:16" ht="54" customHeight="1" x14ac:dyDescent="0.3">
      <c r="A71" s="13">
        <v>22</v>
      </c>
      <c r="B71" s="13" t="s">
        <v>416</v>
      </c>
      <c r="C71" s="13" t="s">
        <v>851</v>
      </c>
      <c r="D71" s="13" t="s">
        <v>2082</v>
      </c>
      <c r="E71" s="13" t="s">
        <v>1794</v>
      </c>
      <c r="F71" s="13" t="s">
        <v>2083</v>
      </c>
      <c r="G71" s="13" t="s">
        <v>2084</v>
      </c>
      <c r="H71" s="13" t="s">
        <v>2085</v>
      </c>
      <c r="I71" s="13" t="s">
        <v>2086</v>
      </c>
      <c r="J71" s="13" t="s">
        <v>2087</v>
      </c>
      <c r="K71" s="13" t="s">
        <v>2088</v>
      </c>
      <c r="L71" s="13" t="s">
        <v>24</v>
      </c>
      <c r="M71" s="13" t="s">
        <v>23</v>
      </c>
      <c r="N71" s="13" t="s">
        <v>59</v>
      </c>
      <c r="O71" s="13" t="s">
        <v>59</v>
      </c>
      <c r="P71" s="13" t="s">
        <v>81</v>
      </c>
    </row>
    <row r="72" spans="1:16" ht="54" customHeight="1" x14ac:dyDescent="0.3">
      <c r="A72" s="13">
        <v>23</v>
      </c>
      <c r="B72" s="13" t="s">
        <v>1255</v>
      </c>
      <c r="C72" s="13" t="s">
        <v>851</v>
      </c>
      <c r="D72" s="13" t="s">
        <v>1794</v>
      </c>
      <c r="E72" s="13" t="s">
        <v>2089</v>
      </c>
      <c r="F72" s="13" t="s">
        <v>2090</v>
      </c>
      <c r="G72" s="13" t="s">
        <v>2091</v>
      </c>
      <c r="H72" s="13" t="s">
        <v>2092</v>
      </c>
      <c r="I72" s="13" t="s">
        <v>2093</v>
      </c>
      <c r="J72" s="13" t="s">
        <v>2094</v>
      </c>
      <c r="K72" s="13" t="s">
        <v>2095</v>
      </c>
      <c r="L72" s="13" t="s">
        <v>24</v>
      </c>
      <c r="M72" s="13" t="s">
        <v>23</v>
      </c>
      <c r="N72" s="13" t="s">
        <v>59</v>
      </c>
      <c r="O72" s="13" t="s">
        <v>59</v>
      </c>
      <c r="P72" s="13" t="s">
        <v>263</v>
      </c>
    </row>
    <row r="73" spans="1:16" ht="54" customHeight="1" x14ac:dyDescent="0.3">
      <c r="A73" s="13">
        <v>24</v>
      </c>
      <c r="B73" s="13" t="s">
        <v>1589</v>
      </c>
      <c r="C73" s="13" t="s">
        <v>1808</v>
      </c>
      <c r="D73" s="13" t="s">
        <v>914</v>
      </c>
      <c r="E73" s="13" t="s">
        <v>1809</v>
      </c>
      <c r="F73" s="13" t="s">
        <v>2096</v>
      </c>
      <c r="G73" s="13" t="s">
        <v>2097</v>
      </c>
      <c r="H73" s="13" t="s">
        <v>2098</v>
      </c>
      <c r="I73" s="13" t="s">
        <v>2099</v>
      </c>
      <c r="J73" s="13" t="s">
        <v>2100</v>
      </c>
      <c r="K73" s="13" t="s">
        <v>2101</v>
      </c>
      <c r="L73" s="13" t="s">
        <v>24</v>
      </c>
      <c r="M73" s="13" t="s">
        <v>23</v>
      </c>
      <c r="N73" s="13" t="s">
        <v>59</v>
      </c>
      <c r="O73" s="13" t="s">
        <v>59</v>
      </c>
      <c r="P73" s="13" t="s">
        <v>60</v>
      </c>
    </row>
    <row r="74" spans="1:16" ht="54" customHeight="1" x14ac:dyDescent="0.3">
      <c r="A74" s="13">
        <v>25</v>
      </c>
      <c r="B74" s="13" t="s">
        <v>416</v>
      </c>
      <c r="C74" s="13" t="s">
        <v>987</v>
      </c>
      <c r="D74" s="13" t="s">
        <v>2102</v>
      </c>
      <c r="E74" s="13" t="s">
        <v>1824</v>
      </c>
      <c r="F74" s="13" t="s">
        <v>2103</v>
      </c>
      <c r="G74" s="13" t="s">
        <v>2104</v>
      </c>
      <c r="H74" s="13" t="s">
        <v>2105</v>
      </c>
      <c r="I74" s="13" t="s">
        <v>2106</v>
      </c>
      <c r="J74" s="13" t="s">
        <v>2107</v>
      </c>
      <c r="K74" s="13" t="s">
        <v>2108</v>
      </c>
      <c r="L74" s="13" t="s">
        <v>24</v>
      </c>
      <c r="M74" s="13" t="s">
        <v>23</v>
      </c>
      <c r="N74" s="13" t="s">
        <v>59</v>
      </c>
      <c r="O74" s="13" t="s">
        <v>59</v>
      </c>
      <c r="P74" s="13" t="s">
        <v>263</v>
      </c>
    </row>
    <row r="75" spans="1:16" ht="54" customHeight="1" x14ac:dyDescent="0.3">
      <c r="A75" s="13">
        <v>26</v>
      </c>
      <c r="B75" s="13" t="s">
        <v>186</v>
      </c>
      <c r="C75" s="13" t="s">
        <v>987</v>
      </c>
      <c r="D75" s="13" t="s">
        <v>1824</v>
      </c>
      <c r="E75" s="13" t="s">
        <v>2109</v>
      </c>
      <c r="F75" s="13" t="s">
        <v>2110</v>
      </c>
      <c r="G75" s="13" t="s">
        <v>2111</v>
      </c>
      <c r="H75" s="13" t="s">
        <v>2112</v>
      </c>
      <c r="I75" s="13" t="s">
        <v>2113</v>
      </c>
      <c r="J75" s="13" t="s">
        <v>2114</v>
      </c>
      <c r="K75" s="13" t="s">
        <v>2115</v>
      </c>
      <c r="L75" s="13" t="s">
        <v>27</v>
      </c>
      <c r="M75" s="13" t="s">
        <v>23</v>
      </c>
      <c r="N75" s="13" t="s">
        <v>59</v>
      </c>
      <c r="O75" s="13" t="s">
        <v>59</v>
      </c>
      <c r="P75" s="13" t="s">
        <v>101</v>
      </c>
    </row>
    <row r="76" spans="1:16" ht="54" customHeight="1" x14ac:dyDescent="0.3">
      <c r="A76" s="13">
        <v>27</v>
      </c>
      <c r="B76" s="13" t="s">
        <v>416</v>
      </c>
      <c r="C76" s="13" t="s">
        <v>1057</v>
      </c>
      <c r="D76" s="13" t="s">
        <v>2116</v>
      </c>
      <c r="E76" s="13" t="s">
        <v>1086</v>
      </c>
      <c r="F76" s="13" t="s">
        <v>2117</v>
      </c>
      <c r="G76" s="13" t="s">
        <v>2118</v>
      </c>
      <c r="H76" s="13" t="s">
        <v>2119</v>
      </c>
      <c r="I76" s="13" t="s">
        <v>2120</v>
      </c>
      <c r="J76" s="13" t="s">
        <v>2121</v>
      </c>
      <c r="K76" s="13" t="s">
        <v>2122</v>
      </c>
      <c r="L76" s="13" t="s">
        <v>24</v>
      </c>
      <c r="M76" s="13" t="s">
        <v>23</v>
      </c>
      <c r="N76" s="13" t="s">
        <v>59</v>
      </c>
      <c r="O76" s="13" t="s">
        <v>59</v>
      </c>
      <c r="P76" s="13" t="s">
        <v>263</v>
      </c>
    </row>
    <row r="77" spans="1:16" ht="54" customHeight="1" x14ac:dyDescent="0.3">
      <c r="A77" s="13">
        <v>28</v>
      </c>
      <c r="B77" s="13" t="s">
        <v>416</v>
      </c>
      <c r="C77" s="13" t="s">
        <v>1125</v>
      </c>
      <c r="D77" s="13" t="s">
        <v>2123</v>
      </c>
      <c r="E77" s="13" t="s">
        <v>2124</v>
      </c>
      <c r="F77" s="13" t="s">
        <v>2125</v>
      </c>
      <c r="G77" s="13" t="s">
        <v>2126</v>
      </c>
      <c r="H77" s="13" t="s">
        <v>2127</v>
      </c>
      <c r="I77" s="13" t="s">
        <v>2128</v>
      </c>
      <c r="J77" s="13" t="s">
        <v>2129</v>
      </c>
      <c r="K77" s="13" t="s">
        <v>2130</v>
      </c>
      <c r="L77" s="13" t="s">
        <v>24</v>
      </c>
      <c r="M77" s="13" t="s">
        <v>23</v>
      </c>
      <c r="N77" s="13" t="s">
        <v>59</v>
      </c>
      <c r="O77" s="13" t="s">
        <v>59</v>
      </c>
      <c r="P77" s="13" t="s">
        <v>81</v>
      </c>
    </row>
    <row r="78" spans="1:16" ht="54" customHeight="1" x14ac:dyDescent="0.3">
      <c r="A78" s="13">
        <v>29</v>
      </c>
      <c r="B78" s="13" t="s">
        <v>416</v>
      </c>
      <c r="C78" s="13" t="s">
        <v>1181</v>
      </c>
      <c r="D78" s="13" t="s">
        <v>2131</v>
      </c>
      <c r="E78" s="13" t="s">
        <v>2132</v>
      </c>
      <c r="F78" s="13" t="s">
        <v>2133</v>
      </c>
      <c r="G78" s="13" t="s">
        <v>2134</v>
      </c>
      <c r="H78" s="13" t="s">
        <v>2135</v>
      </c>
      <c r="I78" s="13" t="s">
        <v>2136</v>
      </c>
      <c r="J78" s="13" t="s">
        <v>2137</v>
      </c>
      <c r="K78" s="13" t="s">
        <v>2138</v>
      </c>
      <c r="L78" s="13" t="s">
        <v>24</v>
      </c>
      <c r="M78" s="13" t="s">
        <v>23</v>
      </c>
      <c r="N78" s="13" t="s">
        <v>59</v>
      </c>
      <c r="O78" s="13" t="s">
        <v>59</v>
      </c>
      <c r="P78" s="13" t="s">
        <v>60</v>
      </c>
    </row>
    <row r="79" spans="1:16" ht="54" customHeight="1" x14ac:dyDescent="0.3">
      <c r="A79" s="13">
        <v>30</v>
      </c>
      <c r="B79" s="13" t="s">
        <v>1255</v>
      </c>
      <c r="C79" s="13" t="s">
        <v>1252</v>
      </c>
      <c r="D79" s="13" t="s">
        <v>1891</v>
      </c>
      <c r="E79" s="13" t="s">
        <v>2139</v>
      </c>
      <c r="F79" s="13" t="s">
        <v>2140</v>
      </c>
      <c r="G79" s="13" t="s">
        <v>2141</v>
      </c>
      <c r="H79" s="13" t="s">
        <v>2142</v>
      </c>
      <c r="I79" s="13" t="s">
        <v>2143</v>
      </c>
      <c r="J79" s="13" t="s">
        <v>2144</v>
      </c>
      <c r="K79" s="13" t="s">
        <v>2145</v>
      </c>
      <c r="L79" s="13" t="s">
        <v>24</v>
      </c>
      <c r="M79" s="13" t="s">
        <v>23</v>
      </c>
      <c r="N79" s="13" t="s">
        <v>59</v>
      </c>
      <c r="O79" s="13" t="s">
        <v>59</v>
      </c>
      <c r="P79" s="13" t="s">
        <v>81</v>
      </c>
    </row>
    <row r="80" spans="1:16" ht="60" customHeight="1" x14ac:dyDescent="0.3">
      <c r="A80" s="13">
        <v>79</v>
      </c>
      <c r="B80" s="13" t="s">
        <v>2146</v>
      </c>
      <c r="C80" s="13" t="s">
        <v>1315</v>
      </c>
      <c r="D80" s="13" t="s">
        <v>2147</v>
      </c>
      <c r="E80" s="13" t="s">
        <v>2148</v>
      </c>
      <c r="F80" s="13" t="s">
        <v>2149</v>
      </c>
      <c r="G80" s="13" t="s">
        <v>2150</v>
      </c>
      <c r="H80" s="13" t="s">
        <v>2151</v>
      </c>
      <c r="I80" s="13" t="s">
        <v>2152</v>
      </c>
      <c r="J80" s="13" t="s">
        <v>2153</v>
      </c>
      <c r="K80" s="13" t="s">
        <v>2154</v>
      </c>
      <c r="L80" s="13" t="s">
        <v>24</v>
      </c>
      <c r="M80" s="13" t="s">
        <v>23</v>
      </c>
      <c r="N80" s="13" t="s">
        <v>59</v>
      </c>
      <c r="O80" s="13" t="s">
        <v>59</v>
      </c>
      <c r="P80" t="s">
        <v>1323</v>
      </c>
    </row>
    <row r="81" spans="1:16" ht="60" customHeight="1" x14ac:dyDescent="0.3">
      <c r="A81" s="13">
        <v>80</v>
      </c>
      <c r="B81" s="13" t="s">
        <v>2146</v>
      </c>
      <c r="C81" s="13" t="s">
        <v>1315</v>
      </c>
      <c r="D81" s="13" t="s">
        <v>2148</v>
      </c>
      <c r="E81" s="13" t="s">
        <v>2155</v>
      </c>
      <c r="F81" s="13" t="s">
        <v>2156</v>
      </c>
      <c r="G81" s="13" t="s">
        <v>2157</v>
      </c>
      <c r="H81" s="13" t="s">
        <v>2158</v>
      </c>
      <c r="I81" s="13" t="s">
        <v>2159</v>
      </c>
      <c r="J81" s="13" t="s">
        <v>2160</v>
      </c>
      <c r="K81" s="13" t="s">
        <v>2161</v>
      </c>
      <c r="L81" s="13" t="s">
        <v>24</v>
      </c>
      <c r="M81" s="13" t="s">
        <v>23</v>
      </c>
      <c r="N81" s="13" t="s">
        <v>59</v>
      </c>
      <c r="O81" s="13" t="s">
        <v>59</v>
      </c>
      <c r="P81" t="s">
        <v>1323</v>
      </c>
    </row>
    <row r="82" spans="1:16" ht="60" customHeight="1" x14ac:dyDescent="0.3">
      <c r="A82" s="13">
        <v>81</v>
      </c>
      <c r="B82" s="13" t="s">
        <v>2146</v>
      </c>
      <c r="C82" s="13" t="s">
        <v>1315</v>
      </c>
      <c r="D82" s="13" t="s">
        <v>2162</v>
      </c>
      <c r="E82" s="13" t="s">
        <v>2163</v>
      </c>
      <c r="F82" s="13" t="s">
        <v>2164</v>
      </c>
      <c r="G82" s="13" t="s">
        <v>2165</v>
      </c>
      <c r="H82" s="13" t="s">
        <v>2166</v>
      </c>
      <c r="I82" s="13" t="s">
        <v>2167</v>
      </c>
      <c r="J82" s="13" t="s">
        <v>2168</v>
      </c>
      <c r="K82" s="13" t="s">
        <v>2169</v>
      </c>
      <c r="L82" s="13" t="s">
        <v>24</v>
      </c>
      <c r="M82" s="13" t="s">
        <v>23</v>
      </c>
      <c r="N82" s="13" t="s">
        <v>59</v>
      </c>
      <c r="O82" s="13" t="s">
        <v>59</v>
      </c>
      <c r="P82" t="s">
        <v>2170</v>
      </c>
    </row>
    <row r="83" spans="1:16" ht="60" customHeight="1" x14ac:dyDescent="0.3">
      <c r="A83" s="13">
        <v>82</v>
      </c>
      <c r="B83" s="13" t="s">
        <v>2146</v>
      </c>
      <c r="C83" s="13" t="s">
        <v>1315</v>
      </c>
      <c r="D83" s="13" t="s">
        <v>2162</v>
      </c>
      <c r="E83" s="13" t="s">
        <v>2171</v>
      </c>
      <c r="F83" s="13" t="s">
        <v>2172</v>
      </c>
      <c r="G83" s="13" t="s">
        <v>2173</v>
      </c>
      <c r="H83" s="13" t="s">
        <v>2174</v>
      </c>
      <c r="I83" s="13" t="s">
        <v>2175</v>
      </c>
      <c r="J83" s="13" t="s">
        <v>2176</v>
      </c>
      <c r="K83" s="13" t="s">
        <v>2177</v>
      </c>
      <c r="L83" s="13" t="s">
        <v>24</v>
      </c>
      <c r="M83" s="13" t="s">
        <v>23</v>
      </c>
      <c r="N83" s="13" t="s">
        <v>59</v>
      </c>
      <c r="O83" s="13" t="s">
        <v>59</v>
      </c>
      <c r="P83" t="s">
        <v>2170</v>
      </c>
    </row>
    <row r="84" spans="1:16" ht="60" customHeight="1" x14ac:dyDescent="0.3">
      <c r="A84" s="13">
        <v>83</v>
      </c>
      <c r="B84" s="13" t="s">
        <v>2146</v>
      </c>
      <c r="C84" s="13" t="s">
        <v>1315</v>
      </c>
      <c r="D84" s="13" t="s">
        <v>2162</v>
      </c>
      <c r="E84" s="13" t="s">
        <v>2178</v>
      </c>
      <c r="F84" s="13" t="s">
        <v>2179</v>
      </c>
      <c r="G84" s="13" t="s">
        <v>2180</v>
      </c>
      <c r="H84" s="13" t="s">
        <v>2181</v>
      </c>
      <c r="I84" s="13" t="s">
        <v>2182</v>
      </c>
      <c r="J84" s="13" t="s">
        <v>2183</v>
      </c>
      <c r="K84" s="13" t="s">
        <v>2184</v>
      </c>
      <c r="L84" s="13" t="s">
        <v>24</v>
      </c>
      <c r="M84" s="13" t="s">
        <v>23</v>
      </c>
      <c r="N84" s="13" t="s">
        <v>59</v>
      </c>
      <c r="O84" s="13" t="s">
        <v>59</v>
      </c>
      <c r="P84" t="s">
        <v>2170</v>
      </c>
    </row>
    <row r="85" spans="1:16" ht="60" customHeight="1" x14ac:dyDescent="0.3">
      <c r="A85" s="13">
        <v>84</v>
      </c>
      <c r="B85" s="13" t="s">
        <v>2146</v>
      </c>
      <c r="C85" s="13" t="s">
        <v>1315</v>
      </c>
      <c r="D85" s="13" t="s">
        <v>2162</v>
      </c>
      <c r="E85" s="13" t="s">
        <v>2185</v>
      </c>
      <c r="F85" s="13" t="s">
        <v>2186</v>
      </c>
      <c r="G85" s="13" t="s">
        <v>2187</v>
      </c>
      <c r="H85" s="13" t="s">
        <v>2188</v>
      </c>
      <c r="I85" s="13" t="s">
        <v>2189</v>
      </c>
      <c r="J85" s="13" t="s">
        <v>2190</v>
      </c>
      <c r="K85" s="13" t="s">
        <v>2191</v>
      </c>
      <c r="L85" s="13" t="s">
        <v>24</v>
      </c>
      <c r="M85" s="13" t="s">
        <v>23</v>
      </c>
      <c r="N85" s="13" t="s">
        <v>59</v>
      </c>
      <c r="O85" s="13" t="s">
        <v>59</v>
      </c>
      <c r="P85" t="s">
        <v>2170</v>
      </c>
    </row>
    <row r="86" spans="1:16" ht="60" customHeight="1" x14ac:dyDescent="0.3">
      <c r="A86" s="13">
        <v>85</v>
      </c>
      <c r="B86" s="13" t="s">
        <v>2146</v>
      </c>
      <c r="C86" s="13" t="s">
        <v>1315</v>
      </c>
      <c r="D86" s="13" t="s">
        <v>2162</v>
      </c>
      <c r="E86" s="13" t="s">
        <v>2192</v>
      </c>
      <c r="F86" s="13" t="s">
        <v>2193</v>
      </c>
      <c r="G86" s="13" t="s">
        <v>2194</v>
      </c>
      <c r="H86" s="13" t="s">
        <v>2195</v>
      </c>
      <c r="I86" s="13" t="s">
        <v>2196</v>
      </c>
      <c r="J86" s="13" t="s">
        <v>2197</v>
      </c>
      <c r="K86" s="13" t="s">
        <v>2198</v>
      </c>
      <c r="L86" s="13" t="s">
        <v>24</v>
      </c>
      <c r="M86" s="13" t="s">
        <v>23</v>
      </c>
      <c r="N86" s="13" t="s">
        <v>59</v>
      </c>
      <c r="O86" s="13" t="s">
        <v>59</v>
      </c>
      <c r="P86" t="s">
        <v>2170</v>
      </c>
    </row>
    <row r="87" spans="1:16" ht="60" customHeight="1" x14ac:dyDescent="0.3">
      <c r="A87" s="13">
        <v>86</v>
      </c>
      <c r="B87" s="13" t="s">
        <v>186</v>
      </c>
      <c r="C87" s="13" t="s">
        <v>1315</v>
      </c>
      <c r="D87" s="13" t="s">
        <v>2199</v>
      </c>
      <c r="E87" s="13" t="s">
        <v>2200</v>
      </c>
      <c r="F87" s="13" t="s">
        <v>2201</v>
      </c>
      <c r="G87" s="13" t="s">
        <v>2202</v>
      </c>
      <c r="H87" s="13" t="s">
        <v>2203</v>
      </c>
      <c r="I87" s="13" t="s">
        <v>2204</v>
      </c>
      <c r="J87" s="13" t="s">
        <v>2205</v>
      </c>
      <c r="K87" s="13" t="s">
        <v>2206</v>
      </c>
      <c r="L87" s="13" t="s">
        <v>24</v>
      </c>
      <c r="M87" s="13" t="s">
        <v>23</v>
      </c>
      <c r="N87" s="13" t="s">
        <v>59</v>
      </c>
      <c r="O87" s="13" t="s">
        <v>59</v>
      </c>
      <c r="P87" t="s">
        <v>1443</v>
      </c>
    </row>
    <row r="88" spans="1:16" ht="60" customHeight="1" x14ac:dyDescent="0.3">
      <c r="A88" s="13">
        <v>87</v>
      </c>
      <c r="B88" s="13" t="s">
        <v>1545</v>
      </c>
      <c r="C88" s="13" t="s">
        <v>1315</v>
      </c>
      <c r="D88" s="13" t="s">
        <v>2162</v>
      </c>
      <c r="E88" s="13" t="s">
        <v>1521</v>
      </c>
      <c r="F88" s="13" t="s">
        <v>2207</v>
      </c>
      <c r="G88" s="13" t="s">
        <v>2208</v>
      </c>
      <c r="H88" s="13" t="s">
        <v>2209</v>
      </c>
      <c r="I88" s="13" t="s">
        <v>2210</v>
      </c>
      <c r="J88" s="13" t="s">
        <v>2211</v>
      </c>
      <c r="K88" s="13" t="s">
        <v>2212</v>
      </c>
      <c r="L88" s="13" t="s">
        <v>27</v>
      </c>
      <c r="M88" s="13" t="s">
        <v>23</v>
      </c>
      <c r="N88" s="13" t="s">
        <v>59</v>
      </c>
      <c r="O88" s="13" t="s">
        <v>59</v>
      </c>
      <c r="P88" t="s">
        <v>1376</v>
      </c>
    </row>
  </sheetData>
  <mergeCells count="2">
    <mergeCell ref="A1:P1"/>
    <mergeCell ref="A2:P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4"/>
  <sheetViews>
    <sheetView showGridLines="0" workbookViewId="0"/>
  </sheetViews>
  <sheetFormatPr defaultRowHeight="14.4" x14ac:dyDescent="0.3"/>
  <cols>
    <col min="1" max="1" width="28" customWidth="1"/>
    <col min="2" max="4" width="12" customWidth="1"/>
    <col min="5" max="5" width="18" customWidth="1"/>
    <col min="6" max="6" width="14" customWidth="1"/>
    <col min="7" max="7" width="12" customWidth="1"/>
    <col min="8" max="8" width="14" customWidth="1"/>
    <col min="9" max="9" width="18" customWidth="1"/>
    <col min="10" max="10" width="14" customWidth="1"/>
    <col min="11" max="11" width="46" customWidth="1"/>
  </cols>
  <sheetData>
    <row r="1" spans="1:11" x14ac:dyDescent="0.3">
      <c r="A1" s="17" t="s">
        <v>2213</v>
      </c>
      <c r="B1" s="16"/>
      <c r="C1" s="16"/>
      <c r="D1" s="16"/>
      <c r="E1" s="16"/>
      <c r="F1" s="16"/>
      <c r="G1" s="16"/>
      <c r="H1" s="16"/>
      <c r="I1" s="16"/>
      <c r="J1" s="16"/>
      <c r="K1" s="16"/>
    </row>
    <row r="2" spans="1:11" x14ac:dyDescent="0.3">
      <c r="A2" s="15" t="s">
        <v>2214</v>
      </c>
      <c r="B2" s="16"/>
      <c r="C2" s="16"/>
      <c r="D2" s="16"/>
      <c r="E2" s="16"/>
      <c r="F2" s="16"/>
      <c r="G2" s="16"/>
      <c r="H2" s="16"/>
      <c r="I2" s="16"/>
      <c r="J2" s="16"/>
      <c r="K2" s="16"/>
    </row>
    <row r="4" spans="1:11" ht="28.8" x14ac:dyDescent="0.3">
      <c r="A4" s="5" t="s">
        <v>2215</v>
      </c>
      <c r="B4" s="5" t="s">
        <v>1255</v>
      </c>
      <c r="C4" s="5" t="s">
        <v>416</v>
      </c>
      <c r="D4" s="5" t="s">
        <v>1589</v>
      </c>
      <c r="E4" s="5" t="s">
        <v>1590</v>
      </c>
      <c r="F4" s="5" t="s">
        <v>1591</v>
      </c>
      <c r="G4" s="5" t="s">
        <v>186</v>
      </c>
      <c r="H4" s="5" t="s">
        <v>1545</v>
      </c>
      <c r="I4" s="5" t="s">
        <v>1592</v>
      </c>
      <c r="J4" s="5" t="s">
        <v>1593</v>
      </c>
      <c r="K4" s="5" t="s">
        <v>20</v>
      </c>
    </row>
    <row r="5" spans="1:11" ht="28.05" customHeight="1" x14ac:dyDescent="0.3">
      <c r="A5" s="13" t="s">
        <v>2216</v>
      </c>
      <c r="B5" s="13" t="s">
        <v>2217</v>
      </c>
      <c r="C5" s="13" t="s">
        <v>2217</v>
      </c>
      <c r="D5" s="13" t="s">
        <v>2217</v>
      </c>
      <c r="E5" s="13" t="s">
        <v>2217</v>
      </c>
      <c r="F5" s="13" t="s">
        <v>2217</v>
      </c>
      <c r="G5" s="13" t="s">
        <v>2217</v>
      </c>
      <c r="H5" s="13" t="s">
        <v>2217</v>
      </c>
      <c r="I5" s="13" t="s">
        <v>2217</v>
      </c>
      <c r="J5" s="13" t="s">
        <v>2217</v>
      </c>
      <c r="K5" s="13" t="s">
        <v>2218</v>
      </c>
    </row>
    <row r="6" spans="1:11" ht="28.05" customHeight="1" x14ac:dyDescent="0.3">
      <c r="A6" s="13" t="s">
        <v>1608</v>
      </c>
      <c r="B6" s="13" t="s">
        <v>2217</v>
      </c>
      <c r="C6" s="13" t="s">
        <v>2217</v>
      </c>
      <c r="D6" s="13" t="s">
        <v>2217</v>
      </c>
      <c r="E6" s="13" t="s">
        <v>2217</v>
      </c>
      <c r="F6" s="13" t="s">
        <v>2217</v>
      </c>
      <c r="G6" s="13" t="s">
        <v>2217</v>
      </c>
      <c r="H6" s="13" t="s">
        <v>2219</v>
      </c>
      <c r="I6" s="13" t="s">
        <v>2219</v>
      </c>
      <c r="J6" s="13" t="s">
        <v>2219</v>
      </c>
      <c r="K6" s="13" t="s">
        <v>2220</v>
      </c>
    </row>
    <row r="7" spans="1:11" ht="28.05" customHeight="1" x14ac:dyDescent="0.3">
      <c r="A7" s="13" t="s">
        <v>170</v>
      </c>
      <c r="B7" s="13" t="s">
        <v>2221</v>
      </c>
      <c r="C7" s="13" t="s">
        <v>2221</v>
      </c>
      <c r="D7" s="13" t="s">
        <v>2221</v>
      </c>
      <c r="E7" s="13" t="s">
        <v>2217</v>
      </c>
      <c r="F7" s="13" t="s">
        <v>2222</v>
      </c>
      <c r="G7" s="13" t="s">
        <v>2217</v>
      </c>
      <c r="H7" s="13" t="s">
        <v>2219</v>
      </c>
      <c r="I7" s="13" t="s">
        <v>2219</v>
      </c>
      <c r="J7" s="13" t="s">
        <v>2219</v>
      </c>
      <c r="K7" s="13" t="s">
        <v>2223</v>
      </c>
    </row>
    <row r="8" spans="1:11" ht="28.05" customHeight="1" x14ac:dyDescent="0.3">
      <c r="A8" s="13" t="s">
        <v>321</v>
      </c>
      <c r="B8" s="13" t="s">
        <v>2217</v>
      </c>
      <c r="C8" s="13" t="s">
        <v>2222</v>
      </c>
      <c r="D8" s="13" t="s">
        <v>2222</v>
      </c>
      <c r="E8" s="13" t="s">
        <v>2222</v>
      </c>
      <c r="F8" s="13" t="s">
        <v>2217</v>
      </c>
      <c r="G8" s="13" t="s">
        <v>2217</v>
      </c>
      <c r="H8" s="13" t="s">
        <v>2219</v>
      </c>
      <c r="I8" s="13" t="s">
        <v>2219</v>
      </c>
      <c r="J8" s="13" t="s">
        <v>2219</v>
      </c>
      <c r="K8" s="13" t="s">
        <v>2224</v>
      </c>
    </row>
    <row r="9" spans="1:11" ht="28.05" customHeight="1" x14ac:dyDescent="0.3">
      <c r="A9" s="13" t="s">
        <v>395</v>
      </c>
      <c r="B9" s="13" t="s">
        <v>2217</v>
      </c>
      <c r="C9" s="13" t="s">
        <v>2221</v>
      </c>
      <c r="D9" s="13" t="s">
        <v>2221</v>
      </c>
      <c r="E9" s="13" t="s">
        <v>2219</v>
      </c>
      <c r="F9" s="13" t="s">
        <v>2219</v>
      </c>
      <c r="G9" s="13" t="s">
        <v>2217</v>
      </c>
      <c r="H9" s="13" t="s">
        <v>2219</v>
      </c>
      <c r="I9" s="13" t="s">
        <v>2219</v>
      </c>
      <c r="J9" s="13" t="s">
        <v>2219</v>
      </c>
      <c r="K9" s="13" t="s">
        <v>2225</v>
      </c>
    </row>
    <row r="10" spans="1:11" ht="28.05" customHeight="1" x14ac:dyDescent="0.3">
      <c r="A10" s="13" t="s">
        <v>467</v>
      </c>
      <c r="B10" s="13" t="s">
        <v>2217</v>
      </c>
      <c r="C10" s="13" t="s">
        <v>2221</v>
      </c>
      <c r="D10" s="13" t="s">
        <v>2221</v>
      </c>
      <c r="E10" s="13" t="s">
        <v>2219</v>
      </c>
      <c r="F10" s="13" t="s">
        <v>2222</v>
      </c>
      <c r="G10" s="13" t="s">
        <v>2217</v>
      </c>
      <c r="H10" s="13" t="s">
        <v>2219</v>
      </c>
      <c r="I10" s="13" t="s">
        <v>2219</v>
      </c>
      <c r="J10" s="13" t="s">
        <v>2219</v>
      </c>
      <c r="K10" s="13" t="s">
        <v>2226</v>
      </c>
    </row>
    <row r="11" spans="1:11" ht="28.05" customHeight="1" x14ac:dyDescent="0.3">
      <c r="A11" s="13" t="s">
        <v>530</v>
      </c>
      <c r="B11" s="13" t="s">
        <v>2217</v>
      </c>
      <c r="C11" s="13" t="s">
        <v>2217</v>
      </c>
      <c r="D11" s="13" t="s">
        <v>2217</v>
      </c>
      <c r="E11" s="13" t="s">
        <v>2219</v>
      </c>
      <c r="F11" s="13" t="s">
        <v>2219</v>
      </c>
      <c r="G11" s="13" t="s">
        <v>2217</v>
      </c>
      <c r="H11" s="13" t="s">
        <v>2219</v>
      </c>
      <c r="I11" s="13" t="s">
        <v>2219</v>
      </c>
      <c r="J11" s="13" t="s">
        <v>2219</v>
      </c>
      <c r="K11" s="13" t="s">
        <v>2227</v>
      </c>
    </row>
    <row r="12" spans="1:11" ht="28.05" customHeight="1" x14ac:dyDescent="0.3">
      <c r="A12" s="13" t="s">
        <v>1711</v>
      </c>
      <c r="B12" s="13" t="s">
        <v>2217</v>
      </c>
      <c r="C12" s="13" t="s">
        <v>2221</v>
      </c>
      <c r="D12" s="13" t="s">
        <v>2221</v>
      </c>
      <c r="E12" s="13" t="s">
        <v>2219</v>
      </c>
      <c r="F12" s="13" t="s">
        <v>2219</v>
      </c>
      <c r="G12" s="13" t="s">
        <v>2217</v>
      </c>
      <c r="H12" s="13" t="s">
        <v>2219</v>
      </c>
      <c r="I12" s="13" t="s">
        <v>2219</v>
      </c>
      <c r="J12" s="13" t="s">
        <v>2219</v>
      </c>
      <c r="K12" s="13" t="s">
        <v>2228</v>
      </c>
    </row>
    <row r="13" spans="1:11" ht="28.05" customHeight="1" x14ac:dyDescent="0.3">
      <c r="A13" s="13" t="s">
        <v>1725</v>
      </c>
      <c r="B13" s="13" t="s">
        <v>2217</v>
      </c>
      <c r="C13" s="13" t="s">
        <v>2221</v>
      </c>
      <c r="D13" s="13" t="s">
        <v>2221</v>
      </c>
      <c r="E13" s="13" t="s">
        <v>2219</v>
      </c>
      <c r="F13" s="13" t="s">
        <v>2219</v>
      </c>
      <c r="G13" s="13" t="s">
        <v>2217</v>
      </c>
      <c r="H13" s="13" t="s">
        <v>2219</v>
      </c>
      <c r="I13" s="13" t="s">
        <v>2219</v>
      </c>
      <c r="J13" s="13" t="s">
        <v>2219</v>
      </c>
      <c r="K13" s="13" t="s">
        <v>2229</v>
      </c>
    </row>
    <row r="14" spans="1:11" ht="28.05" customHeight="1" x14ac:dyDescent="0.3">
      <c r="A14" s="13" t="s">
        <v>1733</v>
      </c>
      <c r="B14" s="13" t="s">
        <v>2217</v>
      </c>
      <c r="C14" s="13" t="s">
        <v>2221</v>
      </c>
      <c r="D14" s="13" t="s">
        <v>2221</v>
      </c>
      <c r="E14" s="13" t="s">
        <v>2219</v>
      </c>
      <c r="F14" s="13" t="s">
        <v>2219</v>
      </c>
      <c r="G14" s="13" t="s">
        <v>2217</v>
      </c>
      <c r="H14" s="13" t="s">
        <v>2219</v>
      </c>
      <c r="I14" s="13" t="s">
        <v>2219</v>
      </c>
      <c r="J14" s="13" t="s">
        <v>2219</v>
      </c>
      <c r="K14" s="13" t="s">
        <v>2230</v>
      </c>
    </row>
    <row r="15" spans="1:11" ht="28.05" customHeight="1" x14ac:dyDescent="0.3">
      <c r="A15" s="13" t="s">
        <v>647</v>
      </c>
      <c r="B15" s="13" t="s">
        <v>2221</v>
      </c>
      <c r="C15" s="13" t="s">
        <v>2221</v>
      </c>
      <c r="D15" s="13" t="s">
        <v>2221</v>
      </c>
      <c r="E15" s="13" t="s">
        <v>2221</v>
      </c>
      <c r="F15" s="13" t="s">
        <v>2219</v>
      </c>
      <c r="G15" s="13" t="s">
        <v>2217</v>
      </c>
      <c r="H15" s="13" t="s">
        <v>2219</v>
      </c>
      <c r="I15" s="13" t="s">
        <v>2219</v>
      </c>
      <c r="J15" s="13" t="s">
        <v>2219</v>
      </c>
      <c r="K15" s="13" t="s">
        <v>2231</v>
      </c>
    </row>
    <row r="16" spans="1:11" ht="28.05" customHeight="1" x14ac:dyDescent="0.3">
      <c r="A16" s="13" t="s">
        <v>707</v>
      </c>
      <c r="B16" s="13" t="s">
        <v>2221</v>
      </c>
      <c r="C16" s="13" t="s">
        <v>2221</v>
      </c>
      <c r="D16" s="13" t="s">
        <v>2221</v>
      </c>
      <c r="E16" s="13" t="s">
        <v>2221</v>
      </c>
      <c r="F16" s="13" t="s">
        <v>2222</v>
      </c>
      <c r="G16" s="13" t="s">
        <v>2217</v>
      </c>
      <c r="H16" s="13" t="s">
        <v>2219</v>
      </c>
      <c r="I16" s="13" t="s">
        <v>2219</v>
      </c>
      <c r="J16" s="13" t="s">
        <v>2219</v>
      </c>
      <c r="K16" s="13" t="s">
        <v>2232</v>
      </c>
    </row>
    <row r="17" spans="1:11" ht="28.05" customHeight="1" x14ac:dyDescent="0.3">
      <c r="A17" s="13" t="s">
        <v>779</v>
      </c>
      <c r="B17" s="13" t="s">
        <v>2221</v>
      </c>
      <c r="C17" s="13" t="s">
        <v>2221</v>
      </c>
      <c r="D17" s="13" t="s">
        <v>2221</v>
      </c>
      <c r="E17" s="13" t="s">
        <v>2221</v>
      </c>
      <c r="F17" s="13" t="s">
        <v>2219</v>
      </c>
      <c r="G17" s="13" t="s">
        <v>2217</v>
      </c>
      <c r="H17" s="13" t="s">
        <v>2219</v>
      </c>
      <c r="I17" s="13" t="s">
        <v>2219</v>
      </c>
      <c r="J17" s="13" t="s">
        <v>2219</v>
      </c>
      <c r="K17" s="13" t="s">
        <v>2233</v>
      </c>
    </row>
    <row r="18" spans="1:11" ht="28.05" customHeight="1" x14ac:dyDescent="0.3">
      <c r="A18" s="13" t="s">
        <v>293</v>
      </c>
      <c r="B18" s="13" t="s">
        <v>2221</v>
      </c>
      <c r="C18" s="13" t="s">
        <v>2221</v>
      </c>
      <c r="D18" s="13" t="s">
        <v>2221</v>
      </c>
      <c r="E18" s="13" t="s">
        <v>2219</v>
      </c>
      <c r="F18" s="13" t="s">
        <v>2219</v>
      </c>
      <c r="G18" s="13" t="s">
        <v>2217</v>
      </c>
      <c r="H18" s="13" t="s">
        <v>2219</v>
      </c>
      <c r="I18" s="13" t="s">
        <v>2219</v>
      </c>
      <c r="J18" s="13" t="s">
        <v>2219</v>
      </c>
      <c r="K18" s="13" t="s">
        <v>2234</v>
      </c>
    </row>
    <row r="19" spans="1:11" ht="28.05" customHeight="1" x14ac:dyDescent="0.3">
      <c r="A19" s="13" t="s">
        <v>304</v>
      </c>
      <c r="B19" s="13" t="s">
        <v>2221</v>
      </c>
      <c r="C19" s="13" t="s">
        <v>2221</v>
      </c>
      <c r="D19" s="13" t="s">
        <v>2221</v>
      </c>
      <c r="E19" s="13" t="s">
        <v>2219</v>
      </c>
      <c r="F19" s="13" t="s">
        <v>2219</v>
      </c>
      <c r="G19" s="13" t="s">
        <v>2217</v>
      </c>
      <c r="H19" s="13" t="s">
        <v>2219</v>
      </c>
      <c r="I19" s="13" t="s">
        <v>2219</v>
      </c>
      <c r="J19" s="13" t="s">
        <v>2219</v>
      </c>
      <c r="K19" s="13" t="s">
        <v>2235</v>
      </c>
    </row>
    <row r="20" spans="1:11" ht="28.05" customHeight="1" x14ac:dyDescent="0.3">
      <c r="A20" s="13" t="s">
        <v>1777</v>
      </c>
      <c r="B20" s="13" t="s">
        <v>2221</v>
      </c>
      <c r="C20" s="13" t="s">
        <v>2221</v>
      </c>
      <c r="D20" s="13" t="s">
        <v>2221</v>
      </c>
      <c r="E20" s="13" t="s">
        <v>2221</v>
      </c>
      <c r="F20" s="13" t="s">
        <v>2219</v>
      </c>
      <c r="G20" s="13" t="s">
        <v>2217</v>
      </c>
      <c r="H20" s="13" t="s">
        <v>2219</v>
      </c>
      <c r="I20" s="13" t="s">
        <v>2219</v>
      </c>
      <c r="J20" s="13" t="s">
        <v>2219</v>
      </c>
      <c r="K20" s="13" t="s">
        <v>2236</v>
      </c>
    </row>
    <row r="21" spans="1:11" ht="28.05" customHeight="1" x14ac:dyDescent="0.3">
      <c r="A21" s="13" t="s">
        <v>2237</v>
      </c>
      <c r="B21" s="13" t="s">
        <v>2221</v>
      </c>
      <c r="C21" s="13" t="s">
        <v>2221</v>
      </c>
      <c r="D21" s="13" t="s">
        <v>2221</v>
      </c>
      <c r="E21" s="13" t="s">
        <v>2221</v>
      </c>
      <c r="F21" s="13" t="s">
        <v>2219</v>
      </c>
      <c r="G21" s="13" t="s">
        <v>2217</v>
      </c>
      <c r="H21" s="13" t="s">
        <v>2219</v>
      </c>
      <c r="I21" s="13" t="s">
        <v>2219</v>
      </c>
      <c r="J21" s="13" t="s">
        <v>2219</v>
      </c>
      <c r="K21" s="13" t="s">
        <v>2238</v>
      </c>
    </row>
    <row r="22" spans="1:11" ht="28.05" customHeight="1" x14ac:dyDescent="0.3">
      <c r="A22" s="13" t="s">
        <v>851</v>
      </c>
      <c r="B22" s="13" t="s">
        <v>2221</v>
      </c>
      <c r="C22" s="13" t="s">
        <v>2221</v>
      </c>
      <c r="D22" s="13" t="s">
        <v>2221</v>
      </c>
      <c r="E22" s="13" t="s">
        <v>2219</v>
      </c>
      <c r="F22" s="13" t="s">
        <v>2219</v>
      </c>
      <c r="G22" s="13" t="s">
        <v>2217</v>
      </c>
      <c r="H22" s="13" t="s">
        <v>2219</v>
      </c>
      <c r="I22" s="13" t="s">
        <v>2219</v>
      </c>
      <c r="J22" s="13" t="s">
        <v>2219</v>
      </c>
      <c r="K22" s="13" t="s">
        <v>2239</v>
      </c>
    </row>
    <row r="23" spans="1:11" ht="28.05" customHeight="1" x14ac:dyDescent="0.3">
      <c r="A23" s="13" t="s">
        <v>1808</v>
      </c>
      <c r="B23" s="13" t="s">
        <v>2221</v>
      </c>
      <c r="C23" s="13" t="s">
        <v>2221</v>
      </c>
      <c r="D23" s="13" t="s">
        <v>2221</v>
      </c>
      <c r="E23" s="13" t="s">
        <v>2219</v>
      </c>
      <c r="F23" s="13" t="s">
        <v>2219</v>
      </c>
      <c r="G23" s="13" t="s">
        <v>2217</v>
      </c>
      <c r="H23" s="13" t="s">
        <v>2219</v>
      </c>
      <c r="I23" s="13" t="s">
        <v>2219</v>
      </c>
      <c r="J23" s="13" t="s">
        <v>2219</v>
      </c>
      <c r="K23" s="13" t="s">
        <v>2240</v>
      </c>
    </row>
    <row r="24" spans="1:11" ht="28.05" customHeight="1" x14ac:dyDescent="0.3">
      <c r="A24" s="13" t="s">
        <v>987</v>
      </c>
      <c r="B24" s="13" t="s">
        <v>2221</v>
      </c>
      <c r="C24" s="13" t="s">
        <v>2221</v>
      </c>
      <c r="D24" s="13" t="s">
        <v>2221</v>
      </c>
      <c r="E24" s="13" t="s">
        <v>2219</v>
      </c>
      <c r="F24" s="13" t="s">
        <v>2219</v>
      </c>
      <c r="G24" s="13" t="s">
        <v>2217</v>
      </c>
      <c r="H24" s="13" t="s">
        <v>2219</v>
      </c>
      <c r="I24" s="13" t="s">
        <v>2219</v>
      </c>
      <c r="J24" s="13" t="s">
        <v>2219</v>
      </c>
      <c r="K24" s="13" t="s">
        <v>2241</v>
      </c>
    </row>
    <row r="25" spans="1:11" ht="28.05" customHeight="1" x14ac:dyDescent="0.3">
      <c r="A25" s="13" t="s">
        <v>1057</v>
      </c>
      <c r="B25" s="13" t="s">
        <v>2221</v>
      </c>
      <c r="C25" s="13" t="s">
        <v>2221</v>
      </c>
      <c r="D25" s="13" t="s">
        <v>2221</v>
      </c>
      <c r="E25" s="13" t="s">
        <v>2219</v>
      </c>
      <c r="F25" s="13" t="s">
        <v>2219</v>
      </c>
      <c r="G25" s="13" t="s">
        <v>2217</v>
      </c>
      <c r="H25" s="13" t="s">
        <v>2219</v>
      </c>
      <c r="I25" s="13" t="s">
        <v>2219</v>
      </c>
      <c r="J25" s="13" t="s">
        <v>2219</v>
      </c>
      <c r="K25" s="13" t="s">
        <v>2242</v>
      </c>
    </row>
    <row r="26" spans="1:11" ht="28.05" customHeight="1" x14ac:dyDescent="0.3">
      <c r="A26" s="13" t="s">
        <v>1125</v>
      </c>
      <c r="B26" s="13" t="s">
        <v>2217</v>
      </c>
      <c r="C26" s="13" t="s">
        <v>2217</v>
      </c>
      <c r="D26" s="13" t="s">
        <v>2217</v>
      </c>
      <c r="E26" s="13" t="s">
        <v>2217</v>
      </c>
      <c r="F26" s="13" t="s">
        <v>2219</v>
      </c>
      <c r="G26" s="13" t="s">
        <v>2217</v>
      </c>
      <c r="H26" s="13" t="s">
        <v>2219</v>
      </c>
      <c r="I26" s="13" t="s">
        <v>2219</v>
      </c>
      <c r="J26" s="13" t="s">
        <v>2219</v>
      </c>
      <c r="K26" s="13" t="s">
        <v>2243</v>
      </c>
    </row>
    <row r="27" spans="1:11" ht="28.05" customHeight="1" x14ac:dyDescent="0.3">
      <c r="A27" s="13" t="s">
        <v>1867</v>
      </c>
      <c r="B27" s="13" t="s">
        <v>2221</v>
      </c>
      <c r="C27" s="13" t="s">
        <v>2221</v>
      </c>
      <c r="D27" s="13" t="s">
        <v>2219</v>
      </c>
      <c r="E27" s="13" t="s">
        <v>2219</v>
      </c>
      <c r="F27" s="13" t="s">
        <v>2219</v>
      </c>
      <c r="G27" s="13" t="s">
        <v>2219</v>
      </c>
      <c r="H27" s="13" t="s">
        <v>2219</v>
      </c>
      <c r="I27" s="13" t="s">
        <v>2219</v>
      </c>
      <c r="J27" s="13" t="s">
        <v>2219</v>
      </c>
      <c r="K27" s="13" t="s">
        <v>2244</v>
      </c>
    </row>
    <row r="28" spans="1:11" ht="28.05" customHeight="1" x14ac:dyDescent="0.3">
      <c r="A28" s="13" t="s">
        <v>2245</v>
      </c>
      <c r="B28" s="13" t="s">
        <v>2221</v>
      </c>
      <c r="C28" s="13" t="s">
        <v>2221</v>
      </c>
      <c r="D28" s="13" t="s">
        <v>2219</v>
      </c>
      <c r="E28" s="13" t="s">
        <v>2219</v>
      </c>
      <c r="F28" s="13" t="s">
        <v>2219</v>
      </c>
      <c r="G28" s="13" t="s">
        <v>2219</v>
      </c>
      <c r="H28" s="13" t="s">
        <v>2219</v>
      </c>
      <c r="I28" s="13" t="s">
        <v>2219</v>
      </c>
      <c r="J28" s="13" t="s">
        <v>2219</v>
      </c>
      <c r="K28" s="13" t="s">
        <v>2246</v>
      </c>
    </row>
    <row r="29" spans="1:11" ht="28.05" customHeight="1" x14ac:dyDescent="0.3">
      <c r="A29" s="13" t="s">
        <v>2247</v>
      </c>
      <c r="B29" s="13" t="s">
        <v>2221</v>
      </c>
      <c r="C29" s="13" t="s">
        <v>2221</v>
      </c>
      <c r="D29" s="13" t="s">
        <v>2219</v>
      </c>
      <c r="E29" s="13" t="s">
        <v>2219</v>
      </c>
      <c r="F29" s="13" t="s">
        <v>2219</v>
      </c>
      <c r="G29" s="13" t="s">
        <v>2219</v>
      </c>
      <c r="H29" s="13" t="s">
        <v>2219</v>
      </c>
      <c r="I29" s="13" t="s">
        <v>2219</v>
      </c>
      <c r="J29" s="13" t="s">
        <v>2219</v>
      </c>
      <c r="K29" s="13" t="s">
        <v>2246</v>
      </c>
    </row>
    <row r="30" spans="1:11" ht="28.05" customHeight="1" x14ac:dyDescent="0.3">
      <c r="A30" s="13" t="s">
        <v>2248</v>
      </c>
      <c r="B30" s="13" t="s">
        <v>2221</v>
      </c>
      <c r="C30" s="13" t="s">
        <v>2221</v>
      </c>
      <c r="D30" s="13" t="s">
        <v>2219</v>
      </c>
      <c r="E30" s="13" t="s">
        <v>2219</v>
      </c>
      <c r="F30" s="13" t="s">
        <v>2219</v>
      </c>
      <c r="G30" s="13" t="s">
        <v>2219</v>
      </c>
      <c r="H30" s="13" t="s">
        <v>2219</v>
      </c>
      <c r="I30" s="13" t="s">
        <v>2219</v>
      </c>
      <c r="J30" s="13" t="s">
        <v>2219</v>
      </c>
      <c r="K30" s="13" t="s">
        <v>2246</v>
      </c>
    </row>
    <row r="31" spans="1:11" ht="28.05" customHeight="1" x14ac:dyDescent="0.3">
      <c r="A31" s="13" t="s">
        <v>2249</v>
      </c>
      <c r="B31" s="13" t="s">
        <v>2221</v>
      </c>
      <c r="C31" s="13" t="s">
        <v>2221</v>
      </c>
      <c r="D31" s="13" t="s">
        <v>2219</v>
      </c>
      <c r="E31" s="13" t="s">
        <v>2219</v>
      </c>
      <c r="F31" s="13" t="s">
        <v>2219</v>
      </c>
      <c r="G31" s="13" t="s">
        <v>2219</v>
      </c>
      <c r="H31" s="13" t="s">
        <v>2219</v>
      </c>
      <c r="I31" s="13" t="s">
        <v>2219</v>
      </c>
      <c r="J31" s="13" t="s">
        <v>2219</v>
      </c>
      <c r="K31" s="13" t="s">
        <v>2250</v>
      </c>
    </row>
    <row r="32" spans="1:11" ht="28.05" customHeight="1" x14ac:dyDescent="0.3">
      <c r="A32" s="13" t="s">
        <v>2251</v>
      </c>
      <c r="B32" s="13" t="s">
        <v>2221</v>
      </c>
      <c r="C32" s="13" t="s">
        <v>2221</v>
      </c>
      <c r="D32" s="13" t="s">
        <v>2219</v>
      </c>
      <c r="E32" s="13" t="s">
        <v>2219</v>
      </c>
      <c r="F32" s="13" t="s">
        <v>2219</v>
      </c>
      <c r="G32" s="13" t="s">
        <v>2219</v>
      </c>
      <c r="H32" s="13" t="s">
        <v>2219</v>
      </c>
      <c r="I32" s="13" t="s">
        <v>2219</v>
      </c>
      <c r="J32" s="13" t="s">
        <v>2219</v>
      </c>
      <c r="K32" s="13" t="s">
        <v>2250</v>
      </c>
    </row>
    <row r="33" spans="1:11" ht="28.05" customHeight="1" x14ac:dyDescent="0.3">
      <c r="A33" s="13" t="s">
        <v>1252</v>
      </c>
      <c r="B33" s="13" t="s">
        <v>2221</v>
      </c>
      <c r="C33" s="13" t="s">
        <v>2219</v>
      </c>
      <c r="D33" s="13" t="s">
        <v>2219</v>
      </c>
      <c r="E33" s="13" t="s">
        <v>2219</v>
      </c>
      <c r="F33" s="13" t="s">
        <v>2219</v>
      </c>
      <c r="G33" s="13" t="s">
        <v>2219</v>
      </c>
      <c r="H33" s="13" t="s">
        <v>2219</v>
      </c>
      <c r="I33" s="13" t="s">
        <v>2219</v>
      </c>
      <c r="J33" s="13" t="s">
        <v>2219</v>
      </c>
      <c r="K33" s="13" t="s">
        <v>2252</v>
      </c>
    </row>
    <row r="34" spans="1:11" ht="28.05" customHeight="1" x14ac:dyDescent="0.3">
      <c r="A34" s="13" t="s">
        <v>1315</v>
      </c>
      <c r="B34" t="s">
        <v>2221</v>
      </c>
      <c r="C34" t="s">
        <v>2221</v>
      </c>
      <c r="D34" t="s">
        <v>2221</v>
      </c>
      <c r="E34" t="s">
        <v>2219</v>
      </c>
      <c r="F34" t="s">
        <v>2219</v>
      </c>
      <c r="G34" t="s">
        <v>2217</v>
      </c>
      <c r="H34" t="s">
        <v>2221</v>
      </c>
      <c r="I34" t="s">
        <v>2219</v>
      </c>
      <c r="J34" t="s">
        <v>2219</v>
      </c>
      <c r="K34" t="s">
        <v>2253</v>
      </c>
    </row>
  </sheetData>
  <mergeCells count="2">
    <mergeCell ref="A2:K2"/>
    <mergeCell ref="A1:K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21"/>
  <sheetViews>
    <sheetView showGridLines="0" workbookViewId="0"/>
  </sheetViews>
  <sheetFormatPr defaultRowHeight="14.4" x14ac:dyDescent="0.3"/>
  <cols>
    <col min="1" max="1" width="14" customWidth="1"/>
    <col min="2" max="2" width="16" customWidth="1"/>
    <col min="3" max="3" width="24" customWidth="1"/>
    <col min="4" max="4" width="22" customWidth="1"/>
    <col min="5" max="5" width="34" customWidth="1"/>
    <col min="6" max="6" width="14" customWidth="1"/>
    <col min="7" max="7" width="20" customWidth="1"/>
    <col min="8" max="8" width="10" customWidth="1"/>
    <col min="9" max="9" width="28" customWidth="1"/>
    <col min="10" max="10" width="46" customWidth="1"/>
    <col min="11" max="11" width="42" customWidth="1"/>
    <col min="12" max="12" width="20" customWidth="1"/>
    <col min="13" max="13" width="14" customWidth="1"/>
    <col min="14" max="15" width="26" customWidth="1"/>
    <col min="16" max="16" width="34" customWidth="1"/>
  </cols>
  <sheetData>
    <row r="1" spans="1:16" ht="24" customHeight="1" x14ac:dyDescent="0.3">
      <c r="A1" s="17" t="s">
        <v>2254</v>
      </c>
      <c r="B1" s="16"/>
      <c r="C1" s="16"/>
      <c r="D1" s="16"/>
      <c r="E1" s="16"/>
      <c r="F1" s="16"/>
      <c r="G1" s="16"/>
      <c r="H1" s="16"/>
    </row>
    <row r="2" spans="1:16" ht="36" customHeight="1" x14ac:dyDescent="0.3">
      <c r="A2" s="15" t="s">
        <v>34</v>
      </c>
      <c r="B2" s="16"/>
      <c r="C2" s="16"/>
      <c r="D2" s="16"/>
      <c r="E2" s="16"/>
      <c r="F2" s="16"/>
      <c r="G2" s="16"/>
      <c r="H2" s="16"/>
    </row>
    <row r="4" spans="1:16" x14ac:dyDescent="0.3">
      <c r="A4" s="5" t="s">
        <v>35</v>
      </c>
      <c r="B4" s="5" t="s">
        <v>36</v>
      </c>
      <c r="C4" s="5" t="s">
        <v>37</v>
      </c>
      <c r="D4" s="5" t="s">
        <v>38</v>
      </c>
      <c r="E4" s="5" t="s">
        <v>39</v>
      </c>
      <c r="F4" s="5" t="s">
        <v>40</v>
      </c>
      <c r="G4" s="5" t="s">
        <v>41</v>
      </c>
      <c r="H4" s="5" t="s">
        <v>42</v>
      </c>
      <c r="I4" s="5" t="s">
        <v>43</v>
      </c>
      <c r="J4" s="5" t="s">
        <v>44</v>
      </c>
      <c r="K4" s="5" t="s">
        <v>45</v>
      </c>
      <c r="L4" s="5" t="s">
        <v>46</v>
      </c>
      <c r="M4" s="5" t="s">
        <v>17</v>
      </c>
      <c r="N4" s="5" t="s">
        <v>47</v>
      </c>
      <c r="O4" s="5" t="s">
        <v>20</v>
      </c>
      <c r="P4" s="5" t="s">
        <v>48</v>
      </c>
    </row>
    <row r="5" spans="1:16" ht="72" x14ac:dyDescent="0.3">
      <c r="A5" s="1" t="s">
        <v>49</v>
      </c>
      <c r="B5" s="1" t="s">
        <v>50</v>
      </c>
      <c r="C5" s="1" t="s">
        <v>51</v>
      </c>
      <c r="D5" s="1" t="s">
        <v>52</v>
      </c>
      <c r="E5" s="1" t="s">
        <v>53</v>
      </c>
      <c r="F5" s="1" t="s">
        <v>25</v>
      </c>
      <c r="G5" s="1" t="s">
        <v>54</v>
      </c>
      <c r="H5" s="1" t="s">
        <v>24</v>
      </c>
      <c r="I5" s="1" t="s">
        <v>55</v>
      </c>
      <c r="J5" s="1" t="s">
        <v>56</v>
      </c>
      <c r="K5" s="1" t="s">
        <v>57</v>
      </c>
      <c r="L5" s="1" t="s">
        <v>58</v>
      </c>
      <c r="M5" s="8" t="s">
        <v>23</v>
      </c>
      <c r="N5" s="8" t="s">
        <v>59</v>
      </c>
      <c r="O5" s="1" t="s">
        <v>59</v>
      </c>
      <c r="P5" s="1" t="s">
        <v>60</v>
      </c>
    </row>
    <row r="6" spans="1:16" ht="72" x14ac:dyDescent="0.3">
      <c r="A6" s="1" t="s">
        <v>61</v>
      </c>
      <c r="B6" s="1" t="s">
        <v>50</v>
      </c>
      <c r="C6" s="1" t="s">
        <v>51</v>
      </c>
      <c r="D6" s="1" t="s">
        <v>52</v>
      </c>
      <c r="E6" s="1" t="s">
        <v>62</v>
      </c>
      <c r="F6" s="1" t="s">
        <v>28</v>
      </c>
      <c r="G6" s="1" t="s">
        <v>54</v>
      </c>
      <c r="H6" s="1" t="s">
        <v>24</v>
      </c>
      <c r="I6" s="1" t="s">
        <v>63</v>
      </c>
      <c r="J6" s="1" t="s">
        <v>64</v>
      </c>
      <c r="K6" s="1" t="s">
        <v>65</v>
      </c>
      <c r="L6" s="1" t="s">
        <v>66</v>
      </c>
      <c r="M6" s="8" t="s">
        <v>23</v>
      </c>
      <c r="N6" s="8" t="s">
        <v>59</v>
      </c>
      <c r="O6" s="1" t="s">
        <v>59</v>
      </c>
      <c r="P6" s="1" t="s">
        <v>60</v>
      </c>
    </row>
    <row r="7" spans="1:16" ht="57.6" x14ac:dyDescent="0.3">
      <c r="A7" s="1" t="s">
        <v>67</v>
      </c>
      <c r="B7" s="1" t="s">
        <v>50</v>
      </c>
      <c r="C7" s="1" t="s">
        <v>51</v>
      </c>
      <c r="D7" s="1" t="s">
        <v>52</v>
      </c>
      <c r="E7" s="1" t="s">
        <v>68</v>
      </c>
      <c r="F7" s="1" t="s">
        <v>28</v>
      </c>
      <c r="G7" s="1" t="s">
        <v>54</v>
      </c>
      <c r="H7" s="1" t="s">
        <v>24</v>
      </c>
      <c r="I7" s="1" t="s">
        <v>69</v>
      </c>
      <c r="J7" s="1" t="s">
        <v>70</v>
      </c>
      <c r="K7" s="1" t="s">
        <v>71</v>
      </c>
      <c r="L7" s="1" t="s">
        <v>72</v>
      </c>
      <c r="M7" s="8" t="s">
        <v>23</v>
      </c>
      <c r="N7" s="8" t="s">
        <v>59</v>
      </c>
      <c r="O7" s="1" t="s">
        <v>59</v>
      </c>
      <c r="P7" s="1" t="s">
        <v>60</v>
      </c>
    </row>
    <row r="8" spans="1:16" ht="57.6" x14ac:dyDescent="0.3">
      <c r="A8" s="1" t="s">
        <v>73</v>
      </c>
      <c r="B8" s="1" t="s">
        <v>50</v>
      </c>
      <c r="C8" s="1" t="s">
        <v>51</v>
      </c>
      <c r="D8" s="1" t="s">
        <v>74</v>
      </c>
      <c r="E8" s="1" t="s">
        <v>75</v>
      </c>
      <c r="F8" s="1" t="s">
        <v>31</v>
      </c>
      <c r="G8" s="1" t="s">
        <v>76</v>
      </c>
      <c r="H8" s="1" t="s">
        <v>24</v>
      </c>
      <c r="I8" s="1" t="s">
        <v>77</v>
      </c>
      <c r="J8" s="1" t="s">
        <v>78</v>
      </c>
      <c r="K8" s="1" t="s">
        <v>79</v>
      </c>
      <c r="L8" s="1" t="s">
        <v>59</v>
      </c>
      <c r="M8" s="8" t="s">
        <v>23</v>
      </c>
      <c r="N8" s="8" t="s">
        <v>59</v>
      </c>
      <c r="O8" s="1" t="s">
        <v>80</v>
      </c>
      <c r="P8" s="1" t="s">
        <v>81</v>
      </c>
    </row>
    <row r="9" spans="1:16" ht="57.6" x14ac:dyDescent="0.3">
      <c r="A9" s="1" t="s">
        <v>82</v>
      </c>
      <c r="B9" s="1" t="s">
        <v>50</v>
      </c>
      <c r="C9" s="1" t="s">
        <v>51</v>
      </c>
      <c r="D9" s="1" t="s">
        <v>83</v>
      </c>
      <c r="E9" s="1" t="s">
        <v>84</v>
      </c>
      <c r="F9" s="1" t="s">
        <v>25</v>
      </c>
      <c r="G9" s="1" t="s">
        <v>76</v>
      </c>
      <c r="H9" s="1" t="s">
        <v>24</v>
      </c>
      <c r="I9" s="1" t="s">
        <v>85</v>
      </c>
      <c r="J9" s="1" t="s">
        <v>86</v>
      </c>
      <c r="K9" s="1" t="s">
        <v>87</v>
      </c>
      <c r="L9" s="1" t="s">
        <v>59</v>
      </c>
      <c r="M9" s="8" t="s">
        <v>23</v>
      </c>
      <c r="N9" s="8" t="s">
        <v>59</v>
      </c>
      <c r="O9" s="1" t="s">
        <v>59</v>
      </c>
      <c r="P9" s="1" t="s">
        <v>88</v>
      </c>
    </row>
    <row r="10" spans="1:16" ht="57.6" x14ac:dyDescent="0.3">
      <c r="A10" s="1" t="s">
        <v>89</v>
      </c>
      <c r="B10" s="1" t="s">
        <v>50</v>
      </c>
      <c r="C10" s="1" t="s">
        <v>51</v>
      </c>
      <c r="D10" s="1" t="s">
        <v>90</v>
      </c>
      <c r="E10" s="1" t="s">
        <v>91</v>
      </c>
      <c r="F10" s="1" t="s">
        <v>25</v>
      </c>
      <c r="G10" s="1" t="s">
        <v>76</v>
      </c>
      <c r="H10" s="1" t="s">
        <v>24</v>
      </c>
      <c r="I10" s="1" t="s">
        <v>85</v>
      </c>
      <c r="J10" s="1" t="s">
        <v>92</v>
      </c>
      <c r="K10" s="1" t="s">
        <v>93</v>
      </c>
      <c r="L10" s="1" t="s">
        <v>59</v>
      </c>
      <c r="M10" s="8" t="s">
        <v>23</v>
      </c>
      <c r="N10" s="8" t="s">
        <v>59</v>
      </c>
      <c r="O10" s="1" t="s">
        <v>59</v>
      </c>
      <c r="P10" s="1" t="s">
        <v>60</v>
      </c>
    </row>
    <row r="11" spans="1:16" ht="57.6" x14ac:dyDescent="0.3">
      <c r="A11" s="1" t="s">
        <v>94</v>
      </c>
      <c r="B11" s="1" t="s">
        <v>50</v>
      </c>
      <c r="C11" s="1" t="s">
        <v>51</v>
      </c>
      <c r="D11" s="1" t="s">
        <v>95</v>
      </c>
      <c r="E11" s="1" t="s">
        <v>96</v>
      </c>
      <c r="F11" s="1" t="s">
        <v>30</v>
      </c>
      <c r="G11" s="1" t="s">
        <v>97</v>
      </c>
      <c r="H11" s="1" t="s">
        <v>24</v>
      </c>
      <c r="I11" s="1" t="s">
        <v>98</v>
      </c>
      <c r="J11" s="1" t="s">
        <v>99</v>
      </c>
      <c r="K11" s="1" t="s">
        <v>100</v>
      </c>
      <c r="L11" s="1" t="s">
        <v>59</v>
      </c>
      <c r="M11" s="8" t="s">
        <v>23</v>
      </c>
      <c r="N11" s="8" t="s">
        <v>59</v>
      </c>
      <c r="O11" s="1" t="s">
        <v>59</v>
      </c>
      <c r="P11" s="1" t="s">
        <v>101</v>
      </c>
    </row>
    <row r="12" spans="1:16" ht="72" x14ac:dyDescent="0.3">
      <c r="A12" s="1" t="s">
        <v>102</v>
      </c>
      <c r="B12" s="1" t="s">
        <v>50</v>
      </c>
      <c r="C12" s="1" t="s">
        <v>51</v>
      </c>
      <c r="D12" s="1" t="s">
        <v>52</v>
      </c>
      <c r="E12" s="1" t="s">
        <v>103</v>
      </c>
      <c r="F12" s="1" t="s">
        <v>28</v>
      </c>
      <c r="G12" s="1" t="s">
        <v>54</v>
      </c>
      <c r="H12" s="1" t="s">
        <v>24</v>
      </c>
      <c r="I12" s="1" t="s">
        <v>104</v>
      </c>
      <c r="J12" s="1" t="s">
        <v>105</v>
      </c>
      <c r="K12" s="1" t="s">
        <v>106</v>
      </c>
      <c r="L12" s="1" t="s">
        <v>107</v>
      </c>
      <c r="M12" s="8" t="s">
        <v>23</v>
      </c>
      <c r="N12" s="8" t="s">
        <v>59</v>
      </c>
      <c r="O12" s="1" t="s">
        <v>59</v>
      </c>
      <c r="P12" s="1" t="s">
        <v>108</v>
      </c>
    </row>
    <row r="13" spans="1:16" ht="57.6" x14ac:dyDescent="0.3">
      <c r="A13" s="1" t="s">
        <v>109</v>
      </c>
      <c r="B13" s="1" t="s">
        <v>50</v>
      </c>
      <c r="C13" s="1" t="s">
        <v>51</v>
      </c>
      <c r="D13" s="1" t="s">
        <v>52</v>
      </c>
      <c r="E13" s="1" t="s">
        <v>110</v>
      </c>
      <c r="F13" s="1" t="s">
        <v>28</v>
      </c>
      <c r="G13" s="1" t="s">
        <v>54</v>
      </c>
      <c r="H13" s="1" t="s">
        <v>24</v>
      </c>
      <c r="I13" s="1" t="s">
        <v>111</v>
      </c>
      <c r="J13" s="1" t="s">
        <v>112</v>
      </c>
      <c r="K13" s="1" t="s">
        <v>113</v>
      </c>
      <c r="L13" s="1" t="s">
        <v>114</v>
      </c>
      <c r="M13" s="8" t="s">
        <v>23</v>
      </c>
      <c r="N13" s="8" t="s">
        <v>59</v>
      </c>
      <c r="O13" s="1" t="s">
        <v>59</v>
      </c>
      <c r="P13" s="1" t="s">
        <v>108</v>
      </c>
    </row>
    <row r="14" spans="1:16" ht="72" x14ac:dyDescent="0.3">
      <c r="A14" s="1" t="s">
        <v>115</v>
      </c>
      <c r="B14" s="1" t="s">
        <v>50</v>
      </c>
      <c r="C14" s="1" t="s">
        <v>51</v>
      </c>
      <c r="D14" s="1" t="s">
        <v>52</v>
      </c>
      <c r="E14" s="1" t="s">
        <v>116</v>
      </c>
      <c r="F14" s="1" t="s">
        <v>30</v>
      </c>
      <c r="G14" s="1" t="s">
        <v>54</v>
      </c>
      <c r="H14" s="1" t="s">
        <v>27</v>
      </c>
      <c r="I14" s="1" t="s">
        <v>117</v>
      </c>
      <c r="J14" s="1" t="s">
        <v>118</v>
      </c>
      <c r="K14" s="1" t="s">
        <v>119</v>
      </c>
      <c r="L14" s="1" t="s">
        <v>120</v>
      </c>
      <c r="M14" s="8" t="s">
        <v>23</v>
      </c>
      <c r="N14" s="8" t="s">
        <v>59</v>
      </c>
      <c r="O14" s="1" t="s">
        <v>59</v>
      </c>
      <c r="P14" s="1" t="s">
        <v>108</v>
      </c>
    </row>
    <row r="15" spans="1:16" ht="43.2" x14ac:dyDescent="0.3">
      <c r="A15" s="1" t="s">
        <v>121</v>
      </c>
      <c r="B15" s="1" t="s">
        <v>50</v>
      </c>
      <c r="C15" s="1" t="s">
        <v>51</v>
      </c>
      <c r="D15" s="1" t="s">
        <v>74</v>
      </c>
      <c r="E15" s="1" t="s">
        <v>122</v>
      </c>
      <c r="F15" s="1" t="s">
        <v>31</v>
      </c>
      <c r="G15" s="1" t="s">
        <v>76</v>
      </c>
      <c r="H15" s="1" t="s">
        <v>24</v>
      </c>
      <c r="I15" s="1" t="s">
        <v>123</v>
      </c>
      <c r="J15" s="1" t="s">
        <v>124</v>
      </c>
      <c r="K15" s="1" t="s">
        <v>125</v>
      </c>
      <c r="L15" s="1" t="s">
        <v>126</v>
      </c>
      <c r="M15" s="8" t="s">
        <v>23</v>
      </c>
      <c r="N15" s="8" t="s">
        <v>59</v>
      </c>
      <c r="O15" s="1" t="s">
        <v>59</v>
      </c>
      <c r="P15" s="1" t="s">
        <v>127</v>
      </c>
    </row>
    <row r="16" spans="1:16" ht="57.6" x14ac:dyDescent="0.3">
      <c r="A16" s="1" t="s">
        <v>128</v>
      </c>
      <c r="B16" s="1" t="s">
        <v>50</v>
      </c>
      <c r="C16" s="1" t="s">
        <v>51</v>
      </c>
      <c r="D16" s="1" t="s">
        <v>83</v>
      </c>
      <c r="E16" s="1" t="s">
        <v>129</v>
      </c>
      <c r="F16" s="1" t="s">
        <v>25</v>
      </c>
      <c r="G16" s="1" t="s">
        <v>76</v>
      </c>
      <c r="H16" s="1" t="s">
        <v>24</v>
      </c>
      <c r="I16" s="1" t="s">
        <v>130</v>
      </c>
      <c r="J16" s="1" t="s">
        <v>131</v>
      </c>
      <c r="K16" s="1" t="s">
        <v>132</v>
      </c>
      <c r="L16" s="1" t="s">
        <v>59</v>
      </c>
      <c r="M16" s="8" t="s">
        <v>23</v>
      </c>
      <c r="N16" s="8" t="s">
        <v>59</v>
      </c>
      <c r="O16" s="1" t="s">
        <v>59</v>
      </c>
      <c r="P16" s="1" t="s">
        <v>81</v>
      </c>
    </row>
    <row r="17" spans="1:16" ht="72" x14ac:dyDescent="0.3">
      <c r="A17" s="1" t="s">
        <v>133</v>
      </c>
      <c r="B17" s="1" t="s">
        <v>50</v>
      </c>
      <c r="C17" s="1" t="s">
        <v>51</v>
      </c>
      <c r="D17" s="1" t="s">
        <v>134</v>
      </c>
      <c r="E17" s="1" t="s">
        <v>135</v>
      </c>
      <c r="F17" s="1" t="s">
        <v>25</v>
      </c>
      <c r="G17" s="1" t="s">
        <v>76</v>
      </c>
      <c r="H17" s="1" t="s">
        <v>24</v>
      </c>
      <c r="I17" s="1" t="s">
        <v>136</v>
      </c>
      <c r="J17" s="1" t="s">
        <v>137</v>
      </c>
      <c r="K17" s="1" t="s">
        <v>138</v>
      </c>
      <c r="L17" s="1" t="s">
        <v>59</v>
      </c>
      <c r="M17" s="8" t="s">
        <v>23</v>
      </c>
      <c r="N17" s="8" t="s">
        <v>59</v>
      </c>
      <c r="O17" s="1" t="s">
        <v>59</v>
      </c>
      <c r="P17" s="1" t="s">
        <v>139</v>
      </c>
    </row>
    <row r="18" spans="1:16" ht="57.6" x14ac:dyDescent="0.3">
      <c r="A18" s="1" t="s">
        <v>140</v>
      </c>
      <c r="B18" s="1" t="s">
        <v>50</v>
      </c>
      <c r="C18" s="1" t="s">
        <v>51</v>
      </c>
      <c r="D18" s="1" t="s">
        <v>141</v>
      </c>
      <c r="E18" s="1" t="s">
        <v>142</v>
      </c>
      <c r="F18" s="1" t="s">
        <v>25</v>
      </c>
      <c r="G18" s="1" t="s">
        <v>76</v>
      </c>
      <c r="H18" s="1" t="s">
        <v>27</v>
      </c>
      <c r="I18" s="1" t="s">
        <v>143</v>
      </c>
      <c r="J18" s="1" t="s">
        <v>144</v>
      </c>
      <c r="K18" s="1" t="s">
        <v>145</v>
      </c>
      <c r="L18" s="1" t="s">
        <v>146</v>
      </c>
      <c r="M18" s="8" t="s">
        <v>23</v>
      </c>
      <c r="N18" s="8" t="s">
        <v>59</v>
      </c>
      <c r="O18" s="1" t="s">
        <v>59</v>
      </c>
      <c r="P18" s="1" t="s">
        <v>139</v>
      </c>
    </row>
    <row r="19" spans="1:16" ht="57.6" x14ac:dyDescent="0.3">
      <c r="A19" s="1" t="s">
        <v>147</v>
      </c>
      <c r="B19" s="1" t="s">
        <v>50</v>
      </c>
      <c r="C19" s="1" t="s">
        <v>51</v>
      </c>
      <c r="D19" s="1" t="s">
        <v>148</v>
      </c>
      <c r="E19" s="1" t="s">
        <v>149</v>
      </c>
      <c r="F19" s="1" t="s">
        <v>30</v>
      </c>
      <c r="G19" s="1" t="s">
        <v>150</v>
      </c>
      <c r="H19" s="1" t="s">
        <v>24</v>
      </c>
      <c r="I19" s="1" t="s">
        <v>151</v>
      </c>
      <c r="J19" s="1" t="s">
        <v>152</v>
      </c>
      <c r="K19" s="1" t="s">
        <v>153</v>
      </c>
      <c r="L19" s="1" t="s">
        <v>154</v>
      </c>
      <c r="M19" s="8" t="s">
        <v>23</v>
      </c>
      <c r="N19" s="8" t="s">
        <v>59</v>
      </c>
      <c r="O19" s="1" t="s">
        <v>59</v>
      </c>
      <c r="P19" s="1" t="s">
        <v>101</v>
      </c>
    </row>
    <row r="20" spans="1:16" ht="57.6" x14ac:dyDescent="0.3">
      <c r="A20" s="1" t="s">
        <v>155</v>
      </c>
      <c r="B20" s="1" t="s">
        <v>50</v>
      </c>
      <c r="C20" s="1" t="s">
        <v>51</v>
      </c>
      <c r="D20" s="1" t="s">
        <v>156</v>
      </c>
      <c r="E20" s="1" t="s">
        <v>157</v>
      </c>
      <c r="F20" s="1" t="s">
        <v>25</v>
      </c>
      <c r="G20" s="1" t="s">
        <v>76</v>
      </c>
      <c r="H20" s="1" t="s">
        <v>27</v>
      </c>
      <c r="I20" s="1" t="s">
        <v>158</v>
      </c>
      <c r="J20" s="1" t="s">
        <v>159</v>
      </c>
      <c r="K20" s="1" t="s">
        <v>160</v>
      </c>
      <c r="L20" s="1" t="s">
        <v>59</v>
      </c>
      <c r="M20" s="8" t="s">
        <v>23</v>
      </c>
      <c r="N20" s="8" t="s">
        <v>59</v>
      </c>
      <c r="O20" s="1" t="s">
        <v>59</v>
      </c>
      <c r="P20" s="1" t="s">
        <v>161</v>
      </c>
    </row>
    <row r="21" spans="1:16" ht="57.6" x14ac:dyDescent="0.3">
      <c r="A21" s="1" t="s">
        <v>162</v>
      </c>
      <c r="B21" s="1" t="s">
        <v>50</v>
      </c>
      <c r="C21" s="1" t="s">
        <v>51</v>
      </c>
      <c r="D21" s="1" t="s">
        <v>163</v>
      </c>
      <c r="E21" s="1" t="s">
        <v>164</v>
      </c>
      <c r="F21" s="1" t="s">
        <v>31</v>
      </c>
      <c r="G21" s="1" t="s">
        <v>76</v>
      </c>
      <c r="H21" s="1" t="s">
        <v>24</v>
      </c>
      <c r="I21" s="1" t="s">
        <v>165</v>
      </c>
      <c r="J21" s="1" t="s">
        <v>166</v>
      </c>
      <c r="K21" s="1" t="s">
        <v>167</v>
      </c>
      <c r="L21" s="1" t="s">
        <v>59</v>
      </c>
      <c r="M21" s="8" t="s">
        <v>23</v>
      </c>
      <c r="N21" s="8" t="s">
        <v>59</v>
      </c>
      <c r="O21" s="1" t="s">
        <v>59</v>
      </c>
      <c r="P21" s="1" t="s">
        <v>139</v>
      </c>
    </row>
  </sheetData>
  <mergeCells count="2">
    <mergeCell ref="A2:H2"/>
    <mergeCell ref="A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xr:uid="{00000000-0002-0000-0600-000000000000}">
          <x14:formula1>
            <xm:f>Referensi!$A$1:$A$6</xm:f>
          </x14:formula1>
          <xm:sqref>M5:M11</xm:sqref>
        </x14:dataValidation>
        <x14:dataValidation type="list" allowBlank="1" xr:uid="{00000000-0002-0000-0600-000001000000}">
          <x14:formula1>
            <xm:f>Referensi!$B$1:$B$3</xm:f>
          </x14:formula1>
          <xm:sqref>H5:H11</xm:sqref>
        </x14:dataValidation>
        <x14:dataValidation type="list" allowBlank="1" xr:uid="{00000000-0002-0000-0600-000002000000}">
          <x14:formula1>
            <xm:f>Referensi!$C$1:$C$4</xm:f>
          </x14:formula1>
          <xm:sqref>F5:F11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9"/>
  <sheetViews>
    <sheetView showGridLines="0" workbookViewId="0"/>
  </sheetViews>
  <sheetFormatPr defaultRowHeight="14.4" x14ac:dyDescent="0.3"/>
  <cols>
    <col min="1" max="1" width="14" customWidth="1"/>
    <col min="2" max="2" width="16" customWidth="1"/>
    <col min="3" max="3" width="24" customWidth="1"/>
    <col min="4" max="4" width="22" customWidth="1"/>
    <col min="5" max="5" width="34" customWidth="1"/>
    <col min="6" max="6" width="14" customWidth="1"/>
    <col min="7" max="7" width="20" customWidth="1"/>
    <col min="8" max="8" width="10" customWidth="1"/>
    <col min="9" max="9" width="28" customWidth="1"/>
    <col min="10" max="10" width="46" customWidth="1"/>
    <col min="11" max="11" width="42" customWidth="1"/>
    <col min="12" max="12" width="20" customWidth="1"/>
    <col min="13" max="13" width="14" customWidth="1"/>
    <col min="14" max="15" width="26" customWidth="1"/>
    <col min="16" max="16" width="34" customWidth="1"/>
  </cols>
  <sheetData>
    <row r="1" spans="1:16" ht="24" customHeight="1" x14ac:dyDescent="0.3">
      <c r="A1" s="17" t="s">
        <v>2255</v>
      </c>
      <c r="B1" s="16"/>
      <c r="C1" s="16"/>
      <c r="D1" s="16"/>
      <c r="E1" s="16"/>
      <c r="F1" s="16"/>
      <c r="G1" s="16"/>
      <c r="H1" s="16"/>
    </row>
    <row r="2" spans="1:16" ht="36" customHeight="1" x14ac:dyDescent="0.3">
      <c r="A2" s="15" t="s">
        <v>34</v>
      </c>
      <c r="B2" s="16"/>
      <c r="C2" s="16"/>
      <c r="D2" s="16"/>
      <c r="E2" s="16"/>
      <c r="F2" s="16"/>
      <c r="G2" s="16"/>
      <c r="H2" s="16"/>
    </row>
    <row r="4" spans="1:16" x14ac:dyDescent="0.3">
      <c r="A4" s="5" t="s">
        <v>35</v>
      </c>
      <c r="B4" s="5" t="s">
        <v>36</v>
      </c>
      <c r="C4" s="5" t="s">
        <v>37</v>
      </c>
      <c r="D4" s="5" t="s">
        <v>38</v>
      </c>
      <c r="E4" s="5" t="s">
        <v>39</v>
      </c>
      <c r="F4" s="5" t="s">
        <v>40</v>
      </c>
      <c r="G4" s="5" t="s">
        <v>41</v>
      </c>
      <c r="H4" s="5" t="s">
        <v>42</v>
      </c>
      <c r="I4" s="5" t="s">
        <v>43</v>
      </c>
      <c r="J4" s="5" t="s">
        <v>44</v>
      </c>
      <c r="K4" s="5" t="s">
        <v>45</v>
      </c>
      <c r="L4" s="5" t="s">
        <v>46</v>
      </c>
      <c r="M4" s="5" t="s">
        <v>17</v>
      </c>
      <c r="N4" s="5" t="s">
        <v>47</v>
      </c>
      <c r="O4" s="5" t="s">
        <v>20</v>
      </c>
      <c r="P4" s="5" t="s">
        <v>48</v>
      </c>
    </row>
    <row r="5" spans="1:16" ht="57.6" x14ac:dyDescent="0.3">
      <c r="A5" s="1" t="s">
        <v>168</v>
      </c>
      <c r="B5" s="1" t="s">
        <v>169</v>
      </c>
      <c r="C5" s="1" t="s">
        <v>170</v>
      </c>
      <c r="D5" s="1" t="s">
        <v>171</v>
      </c>
      <c r="E5" s="1" t="s">
        <v>172</v>
      </c>
      <c r="F5" s="1" t="s">
        <v>25</v>
      </c>
      <c r="G5" s="1" t="s">
        <v>173</v>
      </c>
      <c r="H5" s="1" t="s">
        <v>24</v>
      </c>
      <c r="I5" s="1" t="s">
        <v>174</v>
      </c>
      <c r="J5" s="1" t="s">
        <v>175</v>
      </c>
      <c r="K5" s="1" t="s">
        <v>176</v>
      </c>
      <c r="L5" s="1" t="s">
        <v>59</v>
      </c>
      <c r="M5" s="8" t="s">
        <v>23</v>
      </c>
      <c r="N5" s="8" t="s">
        <v>59</v>
      </c>
      <c r="O5" s="1" t="s">
        <v>59</v>
      </c>
      <c r="P5" s="1" t="s">
        <v>60</v>
      </c>
    </row>
    <row r="6" spans="1:16" ht="57.6" x14ac:dyDescent="0.3">
      <c r="A6" s="1" t="s">
        <v>177</v>
      </c>
      <c r="B6" s="1" t="s">
        <v>169</v>
      </c>
      <c r="C6" s="1" t="s">
        <v>170</v>
      </c>
      <c r="D6" s="1" t="s">
        <v>178</v>
      </c>
      <c r="E6" s="1" t="s">
        <v>179</v>
      </c>
      <c r="F6" s="1" t="s">
        <v>25</v>
      </c>
      <c r="G6" s="1" t="s">
        <v>180</v>
      </c>
      <c r="H6" s="1" t="s">
        <v>24</v>
      </c>
      <c r="I6" s="1" t="s">
        <v>181</v>
      </c>
      <c r="J6" s="1" t="s">
        <v>182</v>
      </c>
      <c r="K6" s="1" t="s">
        <v>183</v>
      </c>
      <c r="L6" s="1" t="s">
        <v>59</v>
      </c>
      <c r="M6" s="8" t="s">
        <v>23</v>
      </c>
      <c r="N6" s="8" t="s">
        <v>59</v>
      </c>
      <c r="O6" s="1" t="s">
        <v>59</v>
      </c>
      <c r="P6" s="1" t="s">
        <v>60</v>
      </c>
    </row>
    <row r="7" spans="1:16" ht="57.6" x14ac:dyDescent="0.3">
      <c r="A7" s="1" t="s">
        <v>184</v>
      </c>
      <c r="B7" s="1" t="s">
        <v>169</v>
      </c>
      <c r="C7" s="1" t="s">
        <v>170</v>
      </c>
      <c r="D7" s="1" t="s">
        <v>178</v>
      </c>
      <c r="E7" s="1" t="s">
        <v>185</v>
      </c>
      <c r="F7" s="1" t="s">
        <v>30</v>
      </c>
      <c r="G7" s="1" t="s">
        <v>186</v>
      </c>
      <c r="H7" s="1" t="s">
        <v>24</v>
      </c>
      <c r="I7" s="1" t="s">
        <v>187</v>
      </c>
      <c r="J7" s="1" t="s">
        <v>188</v>
      </c>
      <c r="K7" s="1" t="s">
        <v>189</v>
      </c>
      <c r="L7" s="1" t="s">
        <v>59</v>
      </c>
      <c r="M7" s="8" t="s">
        <v>23</v>
      </c>
      <c r="N7" s="8" t="s">
        <v>59</v>
      </c>
      <c r="O7" s="1" t="s">
        <v>59</v>
      </c>
      <c r="P7" s="1" t="s">
        <v>101</v>
      </c>
    </row>
    <row r="8" spans="1:16" ht="72" x14ac:dyDescent="0.3">
      <c r="A8" s="1" t="s">
        <v>190</v>
      </c>
      <c r="B8" s="1" t="s">
        <v>169</v>
      </c>
      <c r="C8" s="1" t="s">
        <v>170</v>
      </c>
      <c r="D8" s="1" t="s">
        <v>191</v>
      </c>
      <c r="E8" s="1" t="s">
        <v>192</v>
      </c>
      <c r="F8" s="1" t="s">
        <v>25</v>
      </c>
      <c r="G8" s="1" t="s">
        <v>193</v>
      </c>
      <c r="H8" s="1" t="s">
        <v>24</v>
      </c>
      <c r="I8" s="1" t="s">
        <v>194</v>
      </c>
      <c r="J8" s="1" t="s">
        <v>195</v>
      </c>
      <c r="K8" s="1" t="s">
        <v>196</v>
      </c>
      <c r="L8" s="1" t="s">
        <v>59</v>
      </c>
      <c r="M8" s="8" t="s">
        <v>23</v>
      </c>
      <c r="N8" s="8" t="s">
        <v>59</v>
      </c>
      <c r="O8" s="1" t="s">
        <v>59</v>
      </c>
      <c r="P8" s="1" t="s">
        <v>60</v>
      </c>
    </row>
    <row r="9" spans="1:16" ht="57.6" x14ac:dyDescent="0.3">
      <c r="A9" s="1" t="s">
        <v>197</v>
      </c>
      <c r="B9" s="1" t="s">
        <v>169</v>
      </c>
      <c r="C9" s="1" t="s">
        <v>170</v>
      </c>
      <c r="D9" s="1" t="s">
        <v>198</v>
      </c>
      <c r="E9" s="1" t="s">
        <v>199</v>
      </c>
      <c r="F9" s="1" t="s">
        <v>25</v>
      </c>
      <c r="G9" s="1" t="s">
        <v>200</v>
      </c>
      <c r="H9" s="1" t="s">
        <v>24</v>
      </c>
      <c r="I9" s="1" t="s">
        <v>201</v>
      </c>
      <c r="J9" s="1" t="s">
        <v>202</v>
      </c>
      <c r="K9" s="1" t="s">
        <v>203</v>
      </c>
      <c r="L9" s="1" t="s">
        <v>59</v>
      </c>
      <c r="M9" s="8" t="s">
        <v>23</v>
      </c>
      <c r="N9" s="8" t="s">
        <v>59</v>
      </c>
      <c r="O9" s="1" t="s">
        <v>59</v>
      </c>
      <c r="P9" s="1" t="s">
        <v>60</v>
      </c>
    </row>
    <row r="10" spans="1:16" ht="57.6" x14ac:dyDescent="0.3">
      <c r="A10" s="1" t="s">
        <v>204</v>
      </c>
      <c r="B10" s="1" t="s">
        <v>169</v>
      </c>
      <c r="C10" s="1" t="s">
        <v>170</v>
      </c>
      <c r="D10" s="1" t="s">
        <v>198</v>
      </c>
      <c r="E10" s="1" t="s">
        <v>205</v>
      </c>
      <c r="F10" s="1" t="s">
        <v>31</v>
      </c>
      <c r="G10" s="1" t="s">
        <v>200</v>
      </c>
      <c r="H10" s="1" t="s">
        <v>24</v>
      </c>
      <c r="I10" s="1" t="s">
        <v>206</v>
      </c>
      <c r="J10" s="1" t="s">
        <v>207</v>
      </c>
      <c r="K10" s="1" t="s">
        <v>208</v>
      </c>
      <c r="L10" s="1" t="s">
        <v>59</v>
      </c>
      <c r="M10" s="8" t="s">
        <v>23</v>
      </c>
      <c r="N10" s="8" t="s">
        <v>59</v>
      </c>
      <c r="O10" s="1" t="s">
        <v>59</v>
      </c>
      <c r="P10" s="1" t="s">
        <v>60</v>
      </c>
    </row>
    <row r="11" spans="1:16" ht="57.6" x14ac:dyDescent="0.3">
      <c r="A11" s="1" t="s">
        <v>209</v>
      </c>
      <c r="B11" s="1" t="s">
        <v>169</v>
      </c>
      <c r="C11" s="1" t="s">
        <v>170</v>
      </c>
      <c r="D11" s="1" t="s">
        <v>210</v>
      </c>
      <c r="E11" s="1" t="s">
        <v>211</v>
      </c>
      <c r="F11" s="1" t="s">
        <v>31</v>
      </c>
      <c r="G11" s="1" t="s">
        <v>212</v>
      </c>
      <c r="H11" s="1" t="s">
        <v>27</v>
      </c>
      <c r="I11" s="1" t="s">
        <v>213</v>
      </c>
      <c r="J11" s="1" t="s">
        <v>214</v>
      </c>
      <c r="K11" s="1" t="s">
        <v>215</v>
      </c>
      <c r="L11" s="1" t="s">
        <v>59</v>
      </c>
      <c r="M11" s="8" t="s">
        <v>23</v>
      </c>
      <c r="N11" s="8" t="s">
        <v>59</v>
      </c>
      <c r="O11" s="1" t="s">
        <v>59</v>
      </c>
      <c r="P11" s="1" t="s">
        <v>60</v>
      </c>
    </row>
    <row r="12" spans="1:16" ht="57.6" x14ac:dyDescent="0.3">
      <c r="A12" s="1" t="s">
        <v>216</v>
      </c>
      <c r="B12" s="1" t="s">
        <v>169</v>
      </c>
      <c r="C12" s="1" t="s">
        <v>170</v>
      </c>
      <c r="D12" s="1" t="s">
        <v>217</v>
      </c>
      <c r="E12" s="1" t="s">
        <v>218</v>
      </c>
      <c r="F12" s="1" t="s">
        <v>30</v>
      </c>
      <c r="G12" s="1" t="s">
        <v>219</v>
      </c>
      <c r="H12" s="1" t="s">
        <v>27</v>
      </c>
      <c r="I12" s="1" t="s">
        <v>220</v>
      </c>
      <c r="J12" s="1" t="s">
        <v>221</v>
      </c>
      <c r="K12" s="1" t="s">
        <v>222</v>
      </c>
      <c r="L12" s="1" t="s">
        <v>59</v>
      </c>
      <c r="M12" s="8" t="s">
        <v>23</v>
      </c>
      <c r="N12" s="8" t="s">
        <v>59</v>
      </c>
      <c r="O12" s="1" t="s">
        <v>59</v>
      </c>
      <c r="P12" s="1" t="s">
        <v>81</v>
      </c>
    </row>
    <row r="13" spans="1:16" ht="57.6" x14ac:dyDescent="0.3">
      <c r="A13" s="1" t="s">
        <v>223</v>
      </c>
      <c r="B13" s="1" t="s">
        <v>169</v>
      </c>
      <c r="C13" s="1" t="s">
        <v>170</v>
      </c>
      <c r="D13" s="1" t="s">
        <v>171</v>
      </c>
      <c r="E13" s="1" t="s">
        <v>224</v>
      </c>
      <c r="F13" s="1" t="s">
        <v>31</v>
      </c>
      <c r="G13" s="1" t="s">
        <v>173</v>
      </c>
      <c r="H13" s="1" t="s">
        <v>24</v>
      </c>
      <c r="I13" s="1" t="s">
        <v>225</v>
      </c>
      <c r="J13" s="1" t="s">
        <v>226</v>
      </c>
      <c r="K13" s="1" t="s">
        <v>227</v>
      </c>
      <c r="L13" s="1" t="s">
        <v>59</v>
      </c>
      <c r="M13" s="8" t="s">
        <v>23</v>
      </c>
      <c r="N13" s="8" t="s">
        <v>59</v>
      </c>
      <c r="O13" s="1" t="s">
        <v>59</v>
      </c>
      <c r="P13" s="1" t="s">
        <v>228</v>
      </c>
    </row>
    <row r="14" spans="1:16" ht="72" x14ac:dyDescent="0.3">
      <c r="A14" s="1" t="s">
        <v>229</v>
      </c>
      <c r="B14" s="1" t="s">
        <v>169</v>
      </c>
      <c r="C14" s="1" t="s">
        <v>170</v>
      </c>
      <c r="D14" s="1" t="s">
        <v>171</v>
      </c>
      <c r="E14" s="1" t="s">
        <v>230</v>
      </c>
      <c r="F14" s="1" t="s">
        <v>28</v>
      </c>
      <c r="G14" s="1" t="s">
        <v>173</v>
      </c>
      <c r="H14" s="1" t="s">
        <v>24</v>
      </c>
      <c r="I14" s="1" t="s">
        <v>231</v>
      </c>
      <c r="J14" s="1" t="s">
        <v>232</v>
      </c>
      <c r="K14" s="1" t="s">
        <v>233</v>
      </c>
      <c r="L14" s="1" t="s">
        <v>234</v>
      </c>
      <c r="M14" s="8" t="s">
        <v>23</v>
      </c>
      <c r="N14" s="8" t="s">
        <v>59</v>
      </c>
      <c r="O14" s="1" t="s">
        <v>59</v>
      </c>
      <c r="P14" s="1" t="s">
        <v>228</v>
      </c>
    </row>
    <row r="15" spans="1:16" ht="57.6" x14ac:dyDescent="0.3">
      <c r="A15" s="1" t="s">
        <v>235</v>
      </c>
      <c r="B15" s="1" t="s">
        <v>169</v>
      </c>
      <c r="C15" s="1" t="s">
        <v>170</v>
      </c>
      <c r="D15" s="1" t="s">
        <v>171</v>
      </c>
      <c r="E15" s="1" t="s">
        <v>236</v>
      </c>
      <c r="F15" s="1" t="s">
        <v>28</v>
      </c>
      <c r="G15" s="1" t="s">
        <v>173</v>
      </c>
      <c r="H15" s="1" t="s">
        <v>27</v>
      </c>
      <c r="I15" s="1" t="s">
        <v>231</v>
      </c>
      <c r="J15" s="1" t="s">
        <v>237</v>
      </c>
      <c r="K15" s="1" t="s">
        <v>238</v>
      </c>
      <c r="L15" s="1" t="s">
        <v>239</v>
      </c>
      <c r="M15" s="8" t="s">
        <v>23</v>
      </c>
      <c r="N15" s="8" t="s">
        <v>59</v>
      </c>
      <c r="O15" s="1" t="s">
        <v>59</v>
      </c>
      <c r="P15" s="1" t="s">
        <v>228</v>
      </c>
    </row>
    <row r="16" spans="1:16" ht="72" x14ac:dyDescent="0.3">
      <c r="A16" s="1" t="s">
        <v>240</v>
      </c>
      <c r="B16" s="1" t="s">
        <v>169</v>
      </c>
      <c r="C16" s="1" t="s">
        <v>170</v>
      </c>
      <c r="D16" s="1" t="s">
        <v>178</v>
      </c>
      <c r="E16" s="1" t="s">
        <v>241</v>
      </c>
      <c r="F16" s="1" t="s">
        <v>25</v>
      </c>
      <c r="G16" s="1" t="s">
        <v>180</v>
      </c>
      <c r="H16" s="1" t="s">
        <v>27</v>
      </c>
      <c r="I16" s="1" t="s">
        <v>242</v>
      </c>
      <c r="J16" s="1" t="s">
        <v>243</v>
      </c>
      <c r="K16" s="1" t="s">
        <v>244</v>
      </c>
      <c r="L16" s="1" t="s">
        <v>245</v>
      </c>
      <c r="M16" s="8" t="s">
        <v>23</v>
      </c>
      <c r="N16" s="8" t="s">
        <v>59</v>
      </c>
      <c r="O16" s="1" t="s">
        <v>59</v>
      </c>
      <c r="P16" s="1" t="s">
        <v>246</v>
      </c>
    </row>
    <row r="17" spans="1:16" ht="57.6" x14ac:dyDescent="0.3">
      <c r="A17" s="1" t="s">
        <v>247</v>
      </c>
      <c r="B17" s="1" t="s">
        <v>169</v>
      </c>
      <c r="C17" s="1" t="s">
        <v>170</v>
      </c>
      <c r="D17" s="1" t="s">
        <v>178</v>
      </c>
      <c r="E17" s="1" t="s">
        <v>248</v>
      </c>
      <c r="F17" s="1" t="s">
        <v>25</v>
      </c>
      <c r="G17" s="1" t="s">
        <v>180</v>
      </c>
      <c r="H17" s="1" t="s">
        <v>27</v>
      </c>
      <c r="I17" s="1" t="s">
        <v>242</v>
      </c>
      <c r="J17" s="1" t="s">
        <v>249</v>
      </c>
      <c r="K17" s="1" t="s">
        <v>250</v>
      </c>
      <c r="L17" s="1" t="s">
        <v>251</v>
      </c>
      <c r="M17" s="8" t="s">
        <v>23</v>
      </c>
      <c r="N17" s="8" t="s">
        <v>59</v>
      </c>
      <c r="O17" s="1" t="s">
        <v>59</v>
      </c>
      <c r="P17" s="1" t="s">
        <v>246</v>
      </c>
    </row>
    <row r="18" spans="1:16" ht="43.2" x14ac:dyDescent="0.3">
      <c r="A18" s="1" t="s">
        <v>252</v>
      </c>
      <c r="B18" s="1" t="s">
        <v>169</v>
      </c>
      <c r="C18" s="1" t="s">
        <v>170</v>
      </c>
      <c r="D18" s="1" t="s">
        <v>178</v>
      </c>
      <c r="E18" s="1" t="s">
        <v>253</v>
      </c>
      <c r="F18" s="1" t="s">
        <v>28</v>
      </c>
      <c r="G18" s="1" t="s">
        <v>180</v>
      </c>
      <c r="H18" s="1" t="s">
        <v>24</v>
      </c>
      <c r="I18" s="1" t="s">
        <v>242</v>
      </c>
      <c r="J18" s="1" t="s">
        <v>254</v>
      </c>
      <c r="K18" s="1" t="s">
        <v>255</v>
      </c>
      <c r="L18" s="1" t="s">
        <v>256</v>
      </c>
      <c r="M18" s="8" t="s">
        <v>23</v>
      </c>
      <c r="N18" s="8" t="s">
        <v>59</v>
      </c>
      <c r="O18" s="1" t="s">
        <v>59</v>
      </c>
      <c r="P18" s="1" t="s">
        <v>60</v>
      </c>
    </row>
    <row r="19" spans="1:16" ht="72" x14ac:dyDescent="0.3">
      <c r="A19" s="1" t="s">
        <v>257</v>
      </c>
      <c r="B19" s="1" t="s">
        <v>169</v>
      </c>
      <c r="C19" s="1" t="s">
        <v>170</v>
      </c>
      <c r="D19" s="1" t="s">
        <v>258</v>
      </c>
      <c r="E19" s="1" t="s">
        <v>259</v>
      </c>
      <c r="F19" s="1" t="s">
        <v>25</v>
      </c>
      <c r="G19" s="1" t="s">
        <v>173</v>
      </c>
      <c r="H19" s="1" t="s">
        <v>24</v>
      </c>
      <c r="I19" s="1" t="s">
        <v>260</v>
      </c>
      <c r="J19" s="1" t="s">
        <v>261</v>
      </c>
      <c r="K19" s="1" t="s">
        <v>262</v>
      </c>
      <c r="L19" s="1" t="s">
        <v>59</v>
      </c>
      <c r="M19" s="8" t="s">
        <v>23</v>
      </c>
      <c r="N19" s="8" t="s">
        <v>59</v>
      </c>
      <c r="O19" s="1" t="s">
        <v>59</v>
      </c>
      <c r="P19" s="1" t="s">
        <v>263</v>
      </c>
    </row>
    <row r="20" spans="1:16" ht="57.6" x14ac:dyDescent="0.3">
      <c r="A20" s="1" t="s">
        <v>264</v>
      </c>
      <c r="B20" s="1" t="s">
        <v>169</v>
      </c>
      <c r="C20" s="1" t="s">
        <v>170</v>
      </c>
      <c r="D20" s="1" t="s">
        <v>191</v>
      </c>
      <c r="E20" s="1" t="s">
        <v>265</v>
      </c>
      <c r="F20" s="1" t="s">
        <v>30</v>
      </c>
      <c r="G20" s="1" t="s">
        <v>186</v>
      </c>
      <c r="H20" s="1" t="s">
        <v>24</v>
      </c>
      <c r="I20" s="1" t="s">
        <v>266</v>
      </c>
      <c r="J20" s="1" t="s">
        <v>267</v>
      </c>
      <c r="K20" s="1" t="s">
        <v>268</v>
      </c>
      <c r="L20" s="1" t="s">
        <v>59</v>
      </c>
      <c r="M20" s="8" t="s">
        <v>23</v>
      </c>
      <c r="N20" s="8" t="s">
        <v>59</v>
      </c>
      <c r="O20" s="1" t="s">
        <v>59</v>
      </c>
      <c r="P20" s="1" t="s">
        <v>101</v>
      </c>
    </row>
    <row r="21" spans="1:16" ht="43.2" x14ac:dyDescent="0.3">
      <c r="A21" s="1" t="s">
        <v>269</v>
      </c>
      <c r="B21" s="1" t="s">
        <v>169</v>
      </c>
      <c r="C21" s="1" t="s">
        <v>170</v>
      </c>
      <c r="D21" s="1" t="s">
        <v>198</v>
      </c>
      <c r="E21" s="1" t="s">
        <v>270</v>
      </c>
      <c r="F21" s="1" t="s">
        <v>25</v>
      </c>
      <c r="G21" s="1" t="s">
        <v>173</v>
      </c>
      <c r="H21" s="1" t="s">
        <v>24</v>
      </c>
      <c r="I21" s="1" t="s">
        <v>271</v>
      </c>
      <c r="J21" s="1" t="s">
        <v>272</v>
      </c>
      <c r="K21" s="1" t="s">
        <v>273</v>
      </c>
      <c r="L21" s="1" t="s">
        <v>59</v>
      </c>
      <c r="M21" s="8" t="s">
        <v>23</v>
      </c>
      <c r="N21" s="8" t="s">
        <v>59</v>
      </c>
      <c r="O21" s="1" t="s">
        <v>59</v>
      </c>
      <c r="P21" s="1" t="s">
        <v>60</v>
      </c>
    </row>
    <row r="22" spans="1:16" ht="57.6" x14ac:dyDescent="0.3">
      <c r="A22" s="1" t="s">
        <v>274</v>
      </c>
      <c r="B22" s="1" t="s">
        <v>169</v>
      </c>
      <c r="C22" s="1" t="s">
        <v>170</v>
      </c>
      <c r="D22" s="1" t="s">
        <v>198</v>
      </c>
      <c r="E22" s="1" t="s">
        <v>275</v>
      </c>
      <c r="F22" s="1" t="s">
        <v>31</v>
      </c>
      <c r="G22" s="1" t="s">
        <v>180</v>
      </c>
      <c r="H22" s="1" t="s">
        <v>24</v>
      </c>
      <c r="I22" s="1" t="s">
        <v>276</v>
      </c>
      <c r="J22" s="1" t="s">
        <v>277</v>
      </c>
      <c r="K22" s="1" t="s">
        <v>278</v>
      </c>
      <c r="L22" s="1" t="s">
        <v>279</v>
      </c>
      <c r="M22" s="8" t="s">
        <v>23</v>
      </c>
      <c r="N22" s="8" t="s">
        <v>59</v>
      </c>
      <c r="O22" s="1" t="s">
        <v>59</v>
      </c>
      <c r="P22" s="1" t="s">
        <v>263</v>
      </c>
    </row>
    <row r="23" spans="1:16" ht="72" x14ac:dyDescent="0.3">
      <c r="A23" s="1" t="s">
        <v>280</v>
      </c>
      <c r="B23" s="1" t="s">
        <v>169</v>
      </c>
      <c r="C23" s="1" t="s">
        <v>170</v>
      </c>
      <c r="D23" s="1" t="s">
        <v>198</v>
      </c>
      <c r="E23" s="1" t="s">
        <v>281</v>
      </c>
      <c r="F23" s="1" t="s">
        <v>31</v>
      </c>
      <c r="G23" s="1" t="s">
        <v>180</v>
      </c>
      <c r="H23" s="1" t="s">
        <v>24</v>
      </c>
      <c r="I23" s="1" t="s">
        <v>282</v>
      </c>
      <c r="J23" s="1" t="s">
        <v>283</v>
      </c>
      <c r="K23" s="1" t="s">
        <v>284</v>
      </c>
      <c r="L23" s="1" t="s">
        <v>285</v>
      </c>
      <c r="M23" s="8" t="s">
        <v>23</v>
      </c>
      <c r="N23" s="8" t="s">
        <v>59</v>
      </c>
      <c r="O23" s="1" t="s">
        <v>59</v>
      </c>
      <c r="P23" s="1" t="s">
        <v>263</v>
      </c>
    </row>
    <row r="24" spans="1:16" ht="72" x14ac:dyDescent="0.3">
      <c r="A24" s="1" t="s">
        <v>286</v>
      </c>
      <c r="B24" s="1" t="s">
        <v>169</v>
      </c>
      <c r="C24" s="1" t="s">
        <v>170</v>
      </c>
      <c r="D24" s="1" t="s">
        <v>198</v>
      </c>
      <c r="E24" s="1" t="s">
        <v>287</v>
      </c>
      <c r="F24" s="1" t="s">
        <v>28</v>
      </c>
      <c r="G24" s="1" t="s">
        <v>180</v>
      </c>
      <c r="H24" s="1" t="s">
        <v>27</v>
      </c>
      <c r="I24" s="1" t="s">
        <v>288</v>
      </c>
      <c r="J24" s="1" t="s">
        <v>289</v>
      </c>
      <c r="K24" s="1" t="s">
        <v>290</v>
      </c>
      <c r="L24" s="1" t="s">
        <v>291</v>
      </c>
      <c r="M24" s="8" t="s">
        <v>23</v>
      </c>
      <c r="N24" s="8" t="s">
        <v>59</v>
      </c>
      <c r="O24" s="1" t="s">
        <v>59</v>
      </c>
      <c r="P24" s="1" t="s">
        <v>60</v>
      </c>
    </row>
    <row r="25" spans="1:16" ht="57.6" x14ac:dyDescent="0.3">
      <c r="A25" s="1" t="s">
        <v>292</v>
      </c>
      <c r="B25" s="1" t="s">
        <v>169</v>
      </c>
      <c r="C25" s="1" t="s">
        <v>170</v>
      </c>
      <c r="D25" s="1" t="s">
        <v>293</v>
      </c>
      <c r="E25" s="1" t="s">
        <v>294</v>
      </c>
      <c r="F25" s="1" t="s">
        <v>30</v>
      </c>
      <c r="G25" s="1" t="s">
        <v>97</v>
      </c>
      <c r="H25" s="1" t="s">
        <v>27</v>
      </c>
      <c r="I25" s="1" t="s">
        <v>295</v>
      </c>
      <c r="J25" s="1" t="s">
        <v>296</v>
      </c>
      <c r="K25" s="1" t="s">
        <v>297</v>
      </c>
      <c r="L25" s="1" t="s">
        <v>59</v>
      </c>
      <c r="M25" s="8" t="s">
        <v>23</v>
      </c>
      <c r="N25" s="8" t="s">
        <v>59</v>
      </c>
      <c r="O25" s="1" t="s">
        <v>59</v>
      </c>
      <c r="P25" s="1" t="s">
        <v>60</v>
      </c>
    </row>
    <row r="26" spans="1:16" ht="72" x14ac:dyDescent="0.3">
      <c r="A26" s="1" t="s">
        <v>298</v>
      </c>
      <c r="B26" s="1" t="s">
        <v>169</v>
      </c>
      <c r="C26" s="1" t="s">
        <v>170</v>
      </c>
      <c r="D26" s="1" t="s">
        <v>293</v>
      </c>
      <c r="E26" s="1" t="s">
        <v>299</v>
      </c>
      <c r="F26" s="1" t="s">
        <v>25</v>
      </c>
      <c r="G26" s="1" t="s">
        <v>180</v>
      </c>
      <c r="H26" s="1" t="s">
        <v>27</v>
      </c>
      <c r="I26" s="1" t="s">
        <v>300</v>
      </c>
      <c r="J26" s="1" t="s">
        <v>301</v>
      </c>
      <c r="K26" s="1" t="s">
        <v>302</v>
      </c>
      <c r="L26" s="1" t="s">
        <v>59</v>
      </c>
      <c r="M26" s="8" t="s">
        <v>23</v>
      </c>
      <c r="N26" s="8" t="s">
        <v>59</v>
      </c>
      <c r="O26" s="1" t="s">
        <v>59</v>
      </c>
      <c r="P26" s="1" t="s">
        <v>60</v>
      </c>
    </row>
    <row r="27" spans="1:16" ht="57.6" x14ac:dyDescent="0.3">
      <c r="A27" s="1" t="s">
        <v>303</v>
      </c>
      <c r="B27" s="1" t="s">
        <v>169</v>
      </c>
      <c r="C27" s="1" t="s">
        <v>170</v>
      </c>
      <c r="D27" s="1" t="s">
        <v>304</v>
      </c>
      <c r="E27" s="1" t="s">
        <v>305</v>
      </c>
      <c r="F27" s="1" t="s">
        <v>25</v>
      </c>
      <c r="G27" s="1" t="s">
        <v>180</v>
      </c>
      <c r="H27" s="1" t="s">
        <v>27</v>
      </c>
      <c r="I27" s="1" t="s">
        <v>306</v>
      </c>
      <c r="J27" s="1" t="s">
        <v>307</v>
      </c>
      <c r="K27" s="1" t="s">
        <v>308</v>
      </c>
      <c r="L27" s="1" t="s">
        <v>59</v>
      </c>
      <c r="M27" s="8" t="s">
        <v>23</v>
      </c>
      <c r="N27" s="8" t="s">
        <v>59</v>
      </c>
      <c r="O27" s="1" t="s">
        <v>59</v>
      </c>
      <c r="P27" s="1" t="s">
        <v>60</v>
      </c>
    </row>
    <row r="28" spans="1:16" ht="72" x14ac:dyDescent="0.3">
      <c r="A28" s="1" t="s">
        <v>309</v>
      </c>
      <c r="B28" s="1" t="s">
        <v>169</v>
      </c>
      <c r="C28" s="1" t="s">
        <v>170</v>
      </c>
      <c r="D28" s="1" t="s">
        <v>217</v>
      </c>
      <c r="E28" s="1" t="s">
        <v>310</v>
      </c>
      <c r="F28" s="1" t="s">
        <v>30</v>
      </c>
      <c r="G28" s="1" t="s">
        <v>97</v>
      </c>
      <c r="H28" s="1" t="s">
        <v>24</v>
      </c>
      <c r="I28" s="1" t="s">
        <v>311</v>
      </c>
      <c r="J28" s="1" t="s">
        <v>312</v>
      </c>
      <c r="K28" s="1" t="s">
        <v>313</v>
      </c>
      <c r="L28" s="1" t="s">
        <v>59</v>
      </c>
      <c r="M28" s="8" t="s">
        <v>23</v>
      </c>
      <c r="N28" s="8" t="s">
        <v>59</v>
      </c>
      <c r="O28" s="1" t="s">
        <v>59</v>
      </c>
      <c r="P28" s="1" t="s">
        <v>228</v>
      </c>
    </row>
    <row r="29" spans="1:16" ht="57.6" x14ac:dyDescent="0.3">
      <c r="A29" s="1" t="s">
        <v>314</v>
      </c>
      <c r="B29" s="1" t="s">
        <v>169</v>
      </c>
      <c r="C29" s="1" t="s">
        <v>170</v>
      </c>
      <c r="D29" s="1" t="s">
        <v>315</v>
      </c>
      <c r="E29" s="1" t="s">
        <v>316</v>
      </c>
      <c r="F29" s="1" t="s">
        <v>31</v>
      </c>
      <c r="G29" s="1" t="s">
        <v>180</v>
      </c>
      <c r="H29" s="1" t="s">
        <v>27</v>
      </c>
      <c r="I29" s="1" t="s">
        <v>317</v>
      </c>
      <c r="J29" s="1" t="s">
        <v>318</v>
      </c>
      <c r="K29" s="1" t="s">
        <v>319</v>
      </c>
      <c r="L29" s="1" t="s">
        <v>59</v>
      </c>
      <c r="M29" s="8" t="s">
        <v>23</v>
      </c>
      <c r="N29" s="8" t="s">
        <v>59</v>
      </c>
      <c r="O29" s="1" t="s">
        <v>59</v>
      </c>
      <c r="P29" s="1" t="s">
        <v>81</v>
      </c>
    </row>
  </sheetData>
  <mergeCells count="2">
    <mergeCell ref="A2:H2"/>
    <mergeCell ref="A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xr:uid="{00000000-0002-0000-0700-000000000000}">
          <x14:formula1>
            <xm:f>Referensi!$A$1:$A$6</xm:f>
          </x14:formula1>
          <xm:sqref>M5:M12</xm:sqref>
        </x14:dataValidation>
        <x14:dataValidation type="list" allowBlank="1" xr:uid="{00000000-0002-0000-0700-000001000000}">
          <x14:formula1>
            <xm:f>Referensi!$B$1:$B$3</xm:f>
          </x14:formula1>
          <xm:sqref>H5:H12</xm:sqref>
        </x14:dataValidation>
        <x14:dataValidation type="list" allowBlank="1" xr:uid="{00000000-0002-0000-0700-000002000000}">
          <x14:formula1>
            <xm:f>Referensi!$C$1:$C$4</xm:f>
          </x14:formula1>
          <xm:sqref>F5:F12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6"/>
  <sheetViews>
    <sheetView showGridLines="0" workbookViewId="0"/>
  </sheetViews>
  <sheetFormatPr defaultRowHeight="14.4" x14ac:dyDescent="0.3"/>
  <cols>
    <col min="1" max="1" width="14" customWidth="1"/>
    <col min="2" max="2" width="16" customWidth="1"/>
    <col min="3" max="3" width="24" customWidth="1"/>
    <col min="4" max="4" width="22" customWidth="1"/>
    <col min="5" max="5" width="34" customWidth="1"/>
    <col min="6" max="6" width="14" customWidth="1"/>
    <col min="7" max="7" width="20" customWidth="1"/>
    <col min="8" max="8" width="10" customWidth="1"/>
    <col min="9" max="9" width="28" customWidth="1"/>
    <col min="10" max="10" width="46" customWidth="1"/>
    <col min="11" max="11" width="42" customWidth="1"/>
    <col min="12" max="12" width="20" customWidth="1"/>
    <col min="13" max="13" width="14" customWidth="1"/>
    <col min="14" max="15" width="26" customWidth="1"/>
    <col min="16" max="16" width="34" customWidth="1"/>
  </cols>
  <sheetData>
    <row r="1" spans="1:16" ht="24" customHeight="1" x14ac:dyDescent="0.3">
      <c r="A1" s="17" t="s">
        <v>2256</v>
      </c>
      <c r="B1" s="16"/>
      <c r="C1" s="16"/>
      <c r="D1" s="16"/>
      <c r="E1" s="16"/>
      <c r="F1" s="16"/>
      <c r="G1" s="16"/>
      <c r="H1" s="16"/>
    </row>
    <row r="2" spans="1:16" ht="36" customHeight="1" x14ac:dyDescent="0.3">
      <c r="A2" s="15" t="s">
        <v>34</v>
      </c>
      <c r="B2" s="16"/>
      <c r="C2" s="16"/>
      <c r="D2" s="16"/>
      <c r="E2" s="16"/>
      <c r="F2" s="16"/>
      <c r="G2" s="16"/>
      <c r="H2" s="16"/>
    </row>
    <row r="4" spans="1:16" x14ac:dyDescent="0.3">
      <c r="A4" s="5" t="s">
        <v>35</v>
      </c>
      <c r="B4" s="5" t="s">
        <v>36</v>
      </c>
      <c r="C4" s="5" t="s">
        <v>37</v>
      </c>
      <c r="D4" s="5" t="s">
        <v>38</v>
      </c>
      <c r="E4" s="5" t="s">
        <v>39</v>
      </c>
      <c r="F4" s="5" t="s">
        <v>40</v>
      </c>
      <c r="G4" s="5" t="s">
        <v>41</v>
      </c>
      <c r="H4" s="5" t="s">
        <v>42</v>
      </c>
      <c r="I4" s="5" t="s">
        <v>43</v>
      </c>
      <c r="J4" s="5" t="s">
        <v>44</v>
      </c>
      <c r="K4" s="5" t="s">
        <v>45</v>
      </c>
      <c r="L4" s="5" t="s">
        <v>46</v>
      </c>
      <c r="M4" s="5" t="s">
        <v>17</v>
      </c>
      <c r="N4" s="5" t="s">
        <v>47</v>
      </c>
      <c r="O4" s="5" t="s">
        <v>20</v>
      </c>
      <c r="P4" s="5" t="s">
        <v>48</v>
      </c>
    </row>
    <row r="5" spans="1:16" ht="43.2" x14ac:dyDescent="0.3">
      <c r="A5" s="1" t="s">
        <v>320</v>
      </c>
      <c r="B5" s="1" t="s">
        <v>169</v>
      </c>
      <c r="C5" s="1" t="s">
        <v>321</v>
      </c>
      <c r="D5" s="1" t="s">
        <v>322</v>
      </c>
      <c r="E5" s="1" t="s">
        <v>323</v>
      </c>
      <c r="F5" s="1" t="s">
        <v>25</v>
      </c>
      <c r="G5" s="1" t="s">
        <v>173</v>
      </c>
      <c r="H5" s="1" t="s">
        <v>24</v>
      </c>
      <c r="I5" s="1" t="s">
        <v>324</v>
      </c>
      <c r="J5" s="1" t="s">
        <v>325</v>
      </c>
      <c r="K5" s="1" t="s">
        <v>326</v>
      </c>
      <c r="L5" s="1" t="s">
        <v>59</v>
      </c>
      <c r="M5" s="8" t="s">
        <v>23</v>
      </c>
      <c r="N5" s="8" t="s">
        <v>59</v>
      </c>
      <c r="O5" s="1" t="s">
        <v>59</v>
      </c>
      <c r="P5" s="1" t="s">
        <v>60</v>
      </c>
    </row>
    <row r="6" spans="1:16" ht="57.6" x14ac:dyDescent="0.3">
      <c r="A6" s="1" t="s">
        <v>327</v>
      </c>
      <c r="B6" s="1" t="s">
        <v>169</v>
      </c>
      <c r="C6" s="1" t="s">
        <v>321</v>
      </c>
      <c r="D6" s="1" t="s">
        <v>328</v>
      </c>
      <c r="E6" s="1" t="s">
        <v>329</v>
      </c>
      <c r="F6" s="1" t="s">
        <v>25</v>
      </c>
      <c r="G6" s="1" t="s">
        <v>330</v>
      </c>
      <c r="H6" s="1" t="s">
        <v>24</v>
      </c>
      <c r="I6" s="1" t="s">
        <v>331</v>
      </c>
      <c r="J6" s="1" t="s">
        <v>332</v>
      </c>
      <c r="K6" s="1" t="s">
        <v>333</v>
      </c>
      <c r="L6" s="1" t="s">
        <v>59</v>
      </c>
      <c r="M6" s="8" t="s">
        <v>23</v>
      </c>
      <c r="N6" s="8" t="s">
        <v>59</v>
      </c>
      <c r="O6" s="1" t="s">
        <v>59</v>
      </c>
      <c r="P6" s="1" t="s">
        <v>60</v>
      </c>
    </row>
    <row r="7" spans="1:16" ht="57.6" x14ac:dyDescent="0.3">
      <c r="A7" s="1" t="s">
        <v>334</v>
      </c>
      <c r="B7" s="1" t="s">
        <v>169</v>
      </c>
      <c r="C7" s="1" t="s">
        <v>321</v>
      </c>
      <c r="D7" s="1" t="s">
        <v>335</v>
      </c>
      <c r="E7" s="1" t="s">
        <v>336</v>
      </c>
      <c r="F7" s="1" t="s">
        <v>25</v>
      </c>
      <c r="G7" s="1" t="s">
        <v>330</v>
      </c>
      <c r="H7" s="1" t="s">
        <v>24</v>
      </c>
      <c r="I7" s="1" t="s">
        <v>331</v>
      </c>
      <c r="J7" s="1" t="s">
        <v>337</v>
      </c>
      <c r="K7" s="1" t="s">
        <v>338</v>
      </c>
      <c r="L7" s="1" t="s">
        <v>59</v>
      </c>
      <c r="M7" s="8" t="s">
        <v>23</v>
      </c>
      <c r="N7" s="8" t="s">
        <v>59</v>
      </c>
      <c r="O7" s="1" t="s">
        <v>59</v>
      </c>
      <c r="P7" s="1" t="s">
        <v>60</v>
      </c>
    </row>
    <row r="8" spans="1:16" ht="43.2" x14ac:dyDescent="0.3">
      <c r="A8" s="1" t="s">
        <v>339</v>
      </c>
      <c r="B8" s="1" t="s">
        <v>169</v>
      </c>
      <c r="C8" s="1" t="s">
        <v>321</v>
      </c>
      <c r="D8" s="1" t="s">
        <v>340</v>
      </c>
      <c r="E8" s="1" t="s">
        <v>341</v>
      </c>
      <c r="F8" s="1" t="s">
        <v>30</v>
      </c>
      <c r="G8" s="1" t="s">
        <v>342</v>
      </c>
      <c r="H8" s="1" t="s">
        <v>24</v>
      </c>
      <c r="I8" s="1" t="s">
        <v>343</v>
      </c>
      <c r="J8" s="1" t="s">
        <v>344</v>
      </c>
      <c r="K8" s="1" t="s">
        <v>345</v>
      </c>
      <c r="L8" s="1" t="s">
        <v>59</v>
      </c>
      <c r="M8" s="8" t="s">
        <v>23</v>
      </c>
      <c r="N8" s="8" t="s">
        <v>59</v>
      </c>
      <c r="O8" s="1" t="s">
        <v>59</v>
      </c>
      <c r="P8" s="1" t="s">
        <v>101</v>
      </c>
    </row>
    <row r="9" spans="1:16" ht="86.4" x14ac:dyDescent="0.3">
      <c r="A9" s="1" t="s">
        <v>346</v>
      </c>
      <c r="B9" s="1" t="s">
        <v>169</v>
      </c>
      <c r="C9" s="1" t="s">
        <v>321</v>
      </c>
      <c r="D9" s="1" t="s">
        <v>347</v>
      </c>
      <c r="E9" s="1" t="s">
        <v>348</v>
      </c>
      <c r="F9" s="1" t="s">
        <v>25</v>
      </c>
      <c r="G9" s="1" t="s">
        <v>173</v>
      </c>
      <c r="H9" s="1" t="s">
        <v>27</v>
      </c>
      <c r="I9" s="1" t="s">
        <v>349</v>
      </c>
      <c r="J9" s="1" t="s">
        <v>350</v>
      </c>
      <c r="K9" s="1" t="s">
        <v>351</v>
      </c>
      <c r="L9" s="1" t="s">
        <v>59</v>
      </c>
      <c r="M9" s="8" t="s">
        <v>23</v>
      </c>
      <c r="N9" s="8" t="s">
        <v>59</v>
      </c>
      <c r="O9" s="1" t="s">
        <v>59</v>
      </c>
      <c r="P9" s="1" t="s">
        <v>263</v>
      </c>
    </row>
    <row r="10" spans="1:16" ht="57.6" x14ac:dyDescent="0.3">
      <c r="A10" s="1" t="s">
        <v>352</v>
      </c>
      <c r="B10" s="1" t="s">
        <v>169</v>
      </c>
      <c r="C10" s="1" t="s">
        <v>321</v>
      </c>
      <c r="D10" s="1" t="s">
        <v>322</v>
      </c>
      <c r="E10" s="1" t="s">
        <v>353</v>
      </c>
      <c r="F10" s="1" t="s">
        <v>25</v>
      </c>
      <c r="G10" s="1" t="s">
        <v>173</v>
      </c>
      <c r="H10" s="1" t="s">
        <v>27</v>
      </c>
      <c r="I10" s="1" t="s">
        <v>354</v>
      </c>
      <c r="J10" s="1" t="s">
        <v>355</v>
      </c>
      <c r="K10" s="1" t="s">
        <v>356</v>
      </c>
      <c r="L10" s="1" t="s">
        <v>59</v>
      </c>
      <c r="M10" s="8" t="s">
        <v>23</v>
      </c>
      <c r="N10" s="8" t="s">
        <v>59</v>
      </c>
      <c r="O10" s="1" t="s">
        <v>59</v>
      </c>
      <c r="P10" s="1" t="s">
        <v>88</v>
      </c>
    </row>
    <row r="11" spans="1:16" ht="57.6" x14ac:dyDescent="0.3">
      <c r="A11" s="1" t="s">
        <v>357</v>
      </c>
      <c r="B11" s="1" t="s">
        <v>169</v>
      </c>
      <c r="C11" s="1" t="s">
        <v>321</v>
      </c>
      <c r="D11" s="1" t="s">
        <v>335</v>
      </c>
      <c r="E11" s="1" t="s">
        <v>358</v>
      </c>
      <c r="F11" s="1" t="s">
        <v>28</v>
      </c>
      <c r="G11" s="1" t="s">
        <v>330</v>
      </c>
      <c r="H11" s="1" t="s">
        <v>27</v>
      </c>
      <c r="I11" s="1" t="s">
        <v>359</v>
      </c>
      <c r="J11" s="1" t="s">
        <v>360</v>
      </c>
      <c r="K11" s="1" t="s">
        <v>361</v>
      </c>
      <c r="L11" s="1" t="s">
        <v>59</v>
      </c>
      <c r="M11" s="8" t="s">
        <v>23</v>
      </c>
      <c r="N11" s="8" t="s">
        <v>59</v>
      </c>
      <c r="O11" s="1" t="s">
        <v>59</v>
      </c>
      <c r="P11" s="1" t="s">
        <v>60</v>
      </c>
    </row>
    <row r="12" spans="1:16" ht="57.6" x14ac:dyDescent="0.3">
      <c r="A12" s="1" t="s">
        <v>362</v>
      </c>
      <c r="B12" s="1" t="s">
        <v>169</v>
      </c>
      <c r="C12" s="1" t="s">
        <v>321</v>
      </c>
      <c r="D12" s="1" t="s">
        <v>363</v>
      </c>
      <c r="E12" s="1" t="s">
        <v>364</v>
      </c>
      <c r="F12" s="1" t="s">
        <v>31</v>
      </c>
      <c r="G12" s="1" t="s">
        <v>330</v>
      </c>
      <c r="H12" s="1" t="s">
        <v>24</v>
      </c>
      <c r="I12" s="1" t="s">
        <v>365</v>
      </c>
      <c r="J12" s="1" t="s">
        <v>366</v>
      </c>
      <c r="K12" s="1" t="s">
        <v>367</v>
      </c>
      <c r="L12" s="1" t="s">
        <v>59</v>
      </c>
      <c r="M12" s="8" t="s">
        <v>23</v>
      </c>
      <c r="N12" s="8" t="s">
        <v>59</v>
      </c>
      <c r="O12" s="1" t="s">
        <v>59</v>
      </c>
      <c r="P12" s="1" t="s">
        <v>81</v>
      </c>
    </row>
    <row r="13" spans="1:16" ht="57.6" x14ac:dyDescent="0.3">
      <c r="A13" s="1" t="s">
        <v>368</v>
      </c>
      <c r="B13" s="1" t="s">
        <v>169</v>
      </c>
      <c r="C13" s="1" t="s">
        <v>321</v>
      </c>
      <c r="D13" s="1" t="s">
        <v>363</v>
      </c>
      <c r="E13" s="1" t="s">
        <v>369</v>
      </c>
      <c r="F13" s="1" t="s">
        <v>31</v>
      </c>
      <c r="G13" s="1" t="s">
        <v>330</v>
      </c>
      <c r="H13" s="1" t="s">
        <v>24</v>
      </c>
      <c r="I13" s="1" t="s">
        <v>370</v>
      </c>
      <c r="J13" s="1" t="s">
        <v>371</v>
      </c>
      <c r="K13" s="1" t="s">
        <v>372</v>
      </c>
      <c r="L13" s="1" t="s">
        <v>59</v>
      </c>
      <c r="M13" s="8" t="s">
        <v>23</v>
      </c>
      <c r="N13" s="8" t="s">
        <v>59</v>
      </c>
      <c r="O13" s="1" t="s">
        <v>59</v>
      </c>
      <c r="P13" s="1" t="s">
        <v>81</v>
      </c>
    </row>
    <row r="14" spans="1:16" ht="57.6" x14ac:dyDescent="0.3">
      <c r="A14" s="1" t="s">
        <v>373</v>
      </c>
      <c r="B14" s="1" t="s">
        <v>169</v>
      </c>
      <c r="C14" s="1" t="s">
        <v>321</v>
      </c>
      <c r="D14" s="1" t="s">
        <v>374</v>
      </c>
      <c r="E14" s="1" t="s">
        <v>375</v>
      </c>
      <c r="F14" s="1" t="s">
        <v>28</v>
      </c>
      <c r="G14" s="1" t="s">
        <v>330</v>
      </c>
      <c r="H14" s="1" t="s">
        <v>24</v>
      </c>
      <c r="I14" s="1" t="s">
        <v>376</v>
      </c>
      <c r="J14" s="1" t="s">
        <v>377</v>
      </c>
      <c r="K14" s="1" t="s">
        <v>378</v>
      </c>
      <c r="L14" s="1" t="s">
        <v>59</v>
      </c>
      <c r="M14" s="8" t="s">
        <v>23</v>
      </c>
      <c r="N14" s="8" t="s">
        <v>59</v>
      </c>
      <c r="O14" s="1" t="s">
        <v>59</v>
      </c>
      <c r="P14" s="1" t="s">
        <v>88</v>
      </c>
    </row>
    <row r="15" spans="1:16" ht="43.2" x14ac:dyDescent="0.3">
      <c r="A15" s="1" t="s">
        <v>379</v>
      </c>
      <c r="B15" s="1" t="s">
        <v>169</v>
      </c>
      <c r="C15" s="1" t="s">
        <v>321</v>
      </c>
      <c r="D15" s="1" t="s">
        <v>380</v>
      </c>
      <c r="E15" s="1" t="s">
        <v>381</v>
      </c>
      <c r="F15" s="1" t="s">
        <v>25</v>
      </c>
      <c r="G15" s="1" t="s">
        <v>382</v>
      </c>
      <c r="H15" s="1" t="s">
        <v>27</v>
      </c>
      <c r="I15" s="1" t="s">
        <v>383</v>
      </c>
      <c r="J15" s="1" t="s">
        <v>384</v>
      </c>
      <c r="K15" s="1" t="s">
        <v>385</v>
      </c>
      <c r="L15" s="1" t="s">
        <v>59</v>
      </c>
      <c r="M15" s="8" t="s">
        <v>23</v>
      </c>
      <c r="N15" s="8" t="s">
        <v>59</v>
      </c>
      <c r="O15" s="1" t="s">
        <v>59</v>
      </c>
      <c r="P15" s="1" t="s">
        <v>263</v>
      </c>
    </row>
    <row r="16" spans="1:16" ht="72" x14ac:dyDescent="0.3">
      <c r="A16" s="1" t="s">
        <v>386</v>
      </c>
      <c r="B16" s="1" t="s">
        <v>169</v>
      </c>
      <c r="C16" s="1" t="s">
        <v>321</v>
      </c>
      <c r="D16" s="1" t="s">
        <v>387</v>
      </c>
      <c r="E16" s="1" t="s">
        <v>388</v>
      </c>
      <c r="F16" s="1" t="s">
        <v>30</v>
      </c>
      <c r="G16" s="1" t="s">
        <v>389</v>
      </c>
      <c r="H16" s="1" t="s">
        <v>24</v>
      </c>
      <c r="I16" s="1" t="s">
        <v>390</v>
      </c>
      <c r="J16" s="1" t="s">
        <v>391</v>
      </c>
      <c r="K16" s="1" t="s">
        <v>392</v>
      </c>
      <c r="L16" s="1" t="s">
        <v>59</v>
      </c>
      <c r="M16" s="8" t="s">
        <v>23</v>
      </c>
      <c r="N16" s="8" t="s">
        <v>59</v>
      </c>
      <c r="O16" s="1" t="s">
        <v>59</v>
      </c>
      <c r="P16" s="1" t="s">
        <v>101</v>
      </c>
    </row>
  </sheetData>
  <mergeCells count="2">
    <mergeCell ref="A2:H2"/>
    <mergeCell ref="A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xr:uid="{00000000-0002-0000-0800-000000000000}">
          <x14:formula1>
            <xm:f>Referensi!$A$1:$A$6</xm:f>
          </x14:formula1>
          <xm:sqref>M5:M8</xm:sqref>
        </x14:dataValidation>
        <x14:dataValidation type="list" allowBlank="1" xr:uid="{00000000-0002-0000-0800-000001000000}">
          <x14:formula1>
            <xm:f>Referensi!$B$1:$B$3</xm:f>
          </x14:formula1>
          <xm:sqref>H5:H8</xm:sqref>
        </x14:dataValidation>
        <x14:dataValidation type="list" allowBlank="1" xr:uid="{00000000-0002-0000-0800-000002000000}">
          <x14:formula1>
            <xm:f>Referensi!$C$1:$C$4</xm:f>
          </x14:formula1>
          <xm:sqref>F5:F8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6"/>
  <sheetViews>
    <sheetView showGridLines="0" workbookViewId="0"/>
  </sheetViews>
  <sheetFormatPr defaultRowHeight="14.4" x14ac:dyDescent="0.3"/>
  <cols>
    <col min="1" max="1" width="14" customWidth="1"/>
    <col min="2" max="2" width="16" customWidth="1"/>
    <col min="3" max="3" width="24" customWidth="1"/>
    <col min="4" max="4" width="22" customWidth="1"/>
    <col min="5" max="5" width="34" customWidth="1"/>
    <col min="6" max="6" width="14" customWidth="1"/>
    <col min="7" max="7" width="20" customWidth="1"/>
    <col min="8" max="8" width="10" customWidth="1"/>
    <col min="9" max="9" width="28" customWidth="1"/>
    <col min="10" max="10" width="46" customWidth="1"/>
    <col min="11" max="11" width="42" customWidth="1"/>
    <col min="12" max="12" width="20" customWidth="1"/>
    <col min="13" max="13" width="14" customWidth="1"/>
    <col min="14" max="15" width="26" customWidth="1"/>
    <col min="16" max="16" width="34" customWidth="1"/>
  </cols>
  <sheetData>
    <row r="1" spans="1:16" ht="24" customHeight="1" x14ac:dyDescent="0.3">
      <c r="A1" s="17" t="s">
        <v>2257</v>
      </c>
      <c r="B1" s="16"/>
      <c r="C1" s="16"/>
      <c r="D1" s="16"/>
      <c r="E1" s="16"/>
      <c r="F1" s="16"/>
      <c r="G1" s="16"/>
      <c r="H1" s="16"/>
    </row>
    <row r="2" spans="1:16" ht="36" customHeight="1" x14ac:dyDescent="0.3">
      <c r="A2" s="15" t="s">
        <v>34</v>
      </c>
      <c r="B2" s="16"/>
      <c r="C2" s="16"/>
      <c r="D2" s="16"/>
      <c r="E2" s="16"/>
      <c r="F2" s="16"/>
      <c r="G2" s="16"/>
      <c r="H2" s="16"/>
    </row>
    <row r="4" spans="1:16" x14ac:dyDescent="0.3">
      <c r="A4" s="5" t="s">
        <v>35</v>
      </c>
      <c r="B4" s="5" t="s">
        <v>36</v>
      </c>
      <c r="C4" s="5" t="s">
        <v>37</v>
      </c>
      <c r="D4" s="5" t="s">
        <v>38</v>
      </c>
      <c r="E4" s="5" t="s">
        <v>39</v>
      </c>
      <c r="F4" s="5" t="s">
        <v>40</v>
      </c>
      <c r="G4" s="5" t="s">
        <v>41</v>
      </c>
      <c r="H4" s="5" t="s">
        <v>42</v>
      </c>
      <c r="I4" s="5" t="s">
        <v>43</v>
      </c>
      <c r="J4" s="5" t="s">
        <v>44</v>
      </c>
      <c r="K4" s="5" t="s">
        <v>45</v>
      </c>
      <c r="L4" s="5" t="s">
        <v>46</v>
      </c>
      <c r="M4" s="5" t="s">
        <v>17</v>
      </c>
      <c r="N4" s="5" t="s">
        <v>47</v>
      </c>
      <c r="O4" s="5" t="s">
        <v>20</v>
      </c>
      <c r="P4" s="5" t="s">
        <v>48</v>
      </c>
    </row>
    <row r="5" spans="1:16" ht="72" x14ac:dyDescent="0.3">
      <c r="A5" s="1" t="s">
        <v>393</v>
      </c>
      <c r="B5" s="1" t="s">
        <v>394</v>
      </c>
      <c r="C5" s="1" t="s">
        <v>395</v>
      </c>
      <c r="D5" s="1" t="s">
        <v>396</v>
      </c>
      <c r="E5" s="1" t="s">
        <v>397</v>
      </c>
      <c r="F5" s="1" t="s">
        <v>25</v>
      </c>
      <c r="G5" s="1" t="s">
        <v>173</v>
      </c>
      <c r="H5" s="1" t="s">
        <v>24</v>
      </c>
      <c r="I5" s="1" t="s">
        <v>398</v>
      </c>
      <c r="J5" s="1" t="s">
        <v>399</v>
      </c>
      <c r="K5" s="1" t="s">
        <v>400</v>
      </c>
      <c r="L5" s="1" t="s">
        <v>59</v>
      </c>
      <c r="M5" s="8" t="s">
        <v>23</v>
      </c>
      <c r="N5" s="8" t="s">
        <v>59</v>
      </c>
      <c r="O5" s="1" t="s">
        <v>59</v>
      </c>
      <c r="P5" s="1" t="s">
        <v>60</v>
      </c>
    </row>
    <row r="6" spans="1:16" ht="57.6" x14ac:dyDescent="0.3">
      <c r="A6" s="1" t="s">
        <v>401</v>
      </c>
      <c r="B6" s="1" t="s">
        <v>394</v>
      </c>
      <c r="C6" s="1" t="s">
        <v>395</v>
      </c>
      <c r="D6" s="1" t="s">
        <v>402</v>
      </c>
      <c r="E6" s="1" t="s">
        <v>403</v>
      </c>
      <c r="F6" s="1" t="s">
        <v>25</v>
      </c>
      <c r="G6" s="1" t="s">
        <v>180</v>
      </c>
      <c r="H6" s="1" t="s">
        <v>24</v>
      </c>
      <c r="I6" s="1" t="s">
        <v>404</v>
      </c>
      <c r="J6" s="1" t="s">
        <v>405</v>
      </c>
      <c r="K6" s="1" t="s">
        <v>406</v>
      </c>
      <c r="L6" s="1" t="s">
        <v>59</v>
      </c>
      <c r="M6" s="8" t="s">
        <v>23</v>
      </c>
      <c r="N6" s="8" t="s">
        <v>59</v>
      </c>
      <c r="O6" s="1" t="s">
        <v>59</v>
      </c>
      <c r="P6" s="1" t="s">
        <v>60</v>
      </c>
    </row>
    <row r="7" spans="1:16" ht="43.2" x14ac:dyDescent="0.3">
      <c r="A7" s="1" t="s">
        <v>407</v>
      </c>
      <c r="B7" s="1" t="s">
        <v>394</v>
      </c>
      <c r="C7" s="1" t="s">
        <v>395</v>
      </c>
      <c r="D7" s="1" t="s">
        <v>408</v>
      </c>
      <c r="E7" s="1" t="s">
        <v>409</v>
      </c>
      <c r="F7" s="1" t="s">
        <v>25</v>
      </c>
      <c r="G7" s="1" t="s">
        <v>180</v>
      </c>
      <c r="H7" s="1" t="s">
        <v>24</v>
      </c>
      <c r="I7" s="1" t="s">
        <v>410</v>
      </c>
      <c r="J7" s="1" t="s">
        <v>411</v>
      </c>
      <c r="K7" s="1" t="s">
        <v>412</v>
      </c>
      <c r="L7" s="1" t="s">
        <v>59</v>
      </c>
      <c r="M7" s="8" t="s">
        <v>23</v>
      </c>
      <c r="N7" s="8" t="s">
        <v>59</v>
      </c>
      <c r="O7" s="1" t="s">
        <v>59</v>
      </c>
      <c r="P7" s="1" t="s">
        <v>60</v>
      </c>
    </row>
    <row r="8" spans="1:16" ht="57.6" x14ac:dyDescent="0.3">
      <c r="A8" s="1" t="s">
        <v>413</v>
      </c>
      <c r="B8" s="1" t="s">
        <v>394</v>
      </c>
      <c r="C8" s="1" t="s">
        <v>395</v>
      </c>
      <c r="D8" s="1" t="s">
        <v>414</v>
      </c>
      <c r="E8" s="1" t="s">
        <v>415</v>
      </c>
      <c r="F8" s="1" t="s">
        <v>31</v>
      </c>
      <c r="G8" s="1" t="s">
        <v>416</v>
      </c>
      <c r="H8" s="1" t="s">
        <v>24</v>
      </c>
      <c r="I8" s="1" t="s">
        <v>417</v>
      </c>
      <c r="J8" s="1" t="s">
        <v>418</v>
      </c>
      <c r="K8" s="1" t="s">
        <v>419</v>
      </c>
      <c r="L8" s="1" t="s">
        <v>59</v>
      </c>
      <c r="M8" s="8" t="s">
        <v>23</v>
      </c>
      <c r="N8" s="8" t="s">
        <v>59</v>
      </c>
      <c r="O8" s="1" t="s">
        <v>59</v>
      </c>
      <c r="P8" s="1" t="s">
        <v>60</v>
      </c>
    </row>
    <row r="9" spans="1:16" ht="57.6" x14ac:dyDescent="0.3">
      <c r="A9" s="1" t="s">
        <v>420</v>
      </c>
      <c r="B9" s="1" t="s">
        <v>394</v>
      </c>
      <c r="C9" s="1" t="s">
        <v>395</v>
      </c>
      <c r="D9" s="1" t="s">
        <v>421</v>
      </c>
      <c r="E9" s="1" t="s">
        <v>422</v>
      </c>
      <c r="F9" s="1" t="s">
        <v>30</v>
      </c>
      <c r="G9" s="1" t="s">
        <v>180</v>
      </c>
      <c r="H9" s="1" t="s">
        <v>27</v>
      </c>
      <c r="I9" s="1" t="s">
        <v>423</v>
      </c>
      <c r="J9" s="1" t="s">
        <v>424</v>
      </c>
      <c r="K9" s="1" t="s">
        <v>425</v>
      </c>
      <c r="L9" s="1" t="s">
        <v>59</v>
      </c>
      <c r="M9" s="8" t="s">
        <v>23</v>
      </c>
      <c r="N9" s="8" t="s">
        <v>59</v>
      </c>
      <c r="O9" s="1" t="s">
        <v>59</v>
      </c>
      <c r="P9" s="1" t="s">
        <v>81</v>
      </c>
    </row>
    <row r="10" spans="1:16" ht="72" x14ac:dyDescent="0.3">
      <c r="A10" s="1" t="s">
        <v>426</v>
      </c>
      <c r="B10" s="1" t="s">
        <v>394</v>
      </c>
      <c r="C10" s="1" t="s">
        <v>395</v>
      </c>
      <c r="D10" s="1" t="s">
        <v>427</v>
      </c>
      <c r="E10" s="1" t="s">
        <v>428</v>
      </c>
      <c r="F10" s="1" t="s">
        <v>31</v>
      </c>
      <c r="G10" s="1" t="s">
        <v>180</v>
      </c>
      <c r="H10" s="1" t="s">
        <v>24</v>
      </c>
      <c r="I10" s="1" t="s">
        <v>429</v>
      </c>
      <c r="J10" s="1" t="s">
        <v>430</v>
      </c>
      <c r="K10" s="1" t="s">
        <v>431</v>
      </c>
      <c r="L10" s="1" t="s">
        <v>59</v>
      </c>
      <c r="M10" s="8" t="s">
        <v>23</v>
      </c>
      <c r="N10" s="8" t="s">
        <v>59</v>
      </c>
      <c r="O10" s="1" t="s">
        <v>59</v>
      </c>
      <c r="P10" s="1" t="s">
        <v>263</v>
      </c>
    </row>
    <row r="11" spans="1:16" ht="57.6" x14ac:dyDescent="0.3">
      <c r="A11" s="1" t="s">
        <v>432</v>
      </c>
      <c r="B11" s="1" t="s">
        <v>394</v>
      </c>
      <c r="C11" s="1" t="s">
        <v>395</v>
      </c>
      <c r="D11" s="1" t="s">
        <v>433</v>
      </c>
      <c r="E11" s="1" t="s">
        <v>434</v>
      </c>
      <c r="F11" s="1" t="s">
        <v>25</v>
      </c>
      <c r="G11" s="1" t="s">
        <v>173</v>
      </c>
      <c r="H11" s="1" t="s">
        <v>27</v>
      </c>
      <c r="I11" s="1" t="s">
        <v>435</v>
      </c>
      <c r="J11" s="1" t="s">
        <v>436</v>
      </c>
      <c r="K11" s="1" t="s">
        <v>437</v>
      </c>
      <c r="L11" s="1" t="s">
        <v>59</v>
      </c>
      <c r="M11" s="8" t="s">
        <v>23</v>
      </c>
      <c r="N11" s="8" t="s">
        <v>59</v>
      </c>
      <c r="O11" s="1" t="s">
        <v>59</v>
      </c>
      <c r="P11" s="1" t="s">
        <v>60</v>
      </c>
    </row>
    <row r="12" spans="1:16" ht="72" x14ac:dyDescent="0.3">
      <c r="A12" s="1" t="s">
        <v>438</v>
      </c>
      <c r="B12" s="1" t="s">
        <v>394</v>
      </c>
      <c r="C12" s="1" t="s">
        <v>395</v>
      </c>
      <c r="D12" s="1" t="s">
        <v>439</v>
      </c>
      <c r="E12" s="1" t="s">
        <v>440</v>
      </c>
      <c r="F12" s="1" t="s">
        <v>28</v>
      </c>
      <c r="G12" s="1" t="s">
        <v>416</v>
      </c>
      <c r="H12" s="1" t="s">
        <v>24</v>
      </c>
      <c r="I12" s="1" t="s">
        <v>410</v>
      </c>
      <c r="J12" s="1" t="s">
        <v>441</v>
      </c>
      <c r="K12" s="1" t="s">
        <v>442</v>
      </c>
      <c r="L12" s="1" t="s">
        <v>59</v>
      </c>
      <c r="M12" s="8" t="s">
        <v>23</v>
      </c>
      <c r="N12" s="8" t="s">
        <v>59</v>
      </c>
      <c r="O12" s="1" t="s">
        <v>59</v>
      </c>
      <c r="P12" s="1" t="s">
        <v>81</v>
      </c>
    </row>
    <row r="13" spans="1:16" ht="57.6" x14ac:dyDescent="0.3">
      <c r="A13" s="1" t="s">
        <v>443</v>
      </c>
      <c r="B13" s="1" t="s">
        <v>394</v>
      </c>
      <c r="C13" s="1" t="s">
        <v>395</v>
      </c>
      <c r="D13" s="1" t="s">
        <v>444</v>
      </c>
      <c r="E13" s="1" t="s">
        <v>445</v>
      </c>
      <c r="F13" s="1" t="s">
        <v>31</v>
      </c>
      <c r="G13" s="1" t="s">
        <v>180</v>
      </c>
      <c r="H13" s="1" t="s">
        <v>24</v>
      </c>
      <c r="I13" s="1" t="s">
        <v>446</v>
      </c>
      <c r="J13" s="1" t="s">
        <v>447</v>
      </c>
      <c r="K13" s="1" t="s">
        <v>448</v>
      </c>
      <c r="L13" s="1" t="s">
        <v>59</v>
      </c>
      <c r="M13" s="8" t="s">
        <v>23</v>
      </c>
      <c r="N13" s="8" t="s">
        <v>59</v>
      </c>
      <c r="O13" s="1" t="s">
        <v>59</v>
      </c>
      <c r="P13" s="1" t="s">
        <v>263</v>
      </c>
    </row>
    <row r="14" spans="1:16" ht="57.6" x14ac:dyDescent="0.3">
      <c r="A14" s="1" t="s">
        <v>449</v>
      </c>
      <c r="B14" s="1" t="s">
        <v>394</v>
      </c>
      <c r="C14" s="1" t="s">
        <v>395</v>
      </c>
      <c r="D14" s="1" t="s">
        <v>450</v>
      </c>
      <c r="E14" s="1" t="s">
        <v>451</v>
      </c>
      <c r="F14" s="1" t="s">
        <v>30</v>
      </c>
      <c r="G14" s="1" t="s">
        <v>186</v>
      </c>
      <c r="H14" s="1" t="s">
        <v>27</v>
      </c>
      <c r="I14" s="1" t="s">
        <v>452</v>
      </c>
      <c r="J14" s="1" t="s">
        <v>453</v>
      </c>
      <c r="K14" s="1" t="s">
        <v>454</v>
      </c>
      <c r="L14" s="1" t="s">
        <v>59</v>
      </c>
      <c r="M14" s="8" t="s">
        <v>23</v>
      </c>
      <c r="N14" s="8" t="s">
        <v>59</v>
      </c>
      <c r="O14" s="1" t="s">
        <v>59</v>
      </c>
      <c r="P14" s="1" t="s">
        <v>101</v>
      </c>
    </row>
    <row r="15" spans="1:16" ht="57.6" x14ac:dyDescent="0.3">
      <c r="A15" s="1" t="s">
        <v>455</v>
      </c>
      <c r="B15" s="1" t="s">
        <v>394</v>
      </c>
      <c r="C15" s="1" t="s">
        <v>395</v>
      </c>
      <c r="D15" s="1" t="s">
        <v>456</v>
      </c>
      <c r="E15" s="1" t="s">
        <v>457</v>
      </c>
      <c r="F15" s="1" t="s">
        <v>25</v>
      </c>
      <c r="G15" s="1" t="s">
        <v>416</v>
      </c>
      <c r="H15" s="1" t="s">
        <v>27</v>
      </c>
      <c r="I15" s="1" t="s">
        <v>458</v>
      </c>
      <c r="J15" s="1" t="s">
        <v>459</v>
      </c>
      <c r="K15" s="1" t="s">
        <v>460</v>
      </c>
      <c r="L15" s="1" t="s">
        <v>59</v>
      </c>
      <c r="M15" s="8" t="s">
        <v>23</v>
      </c>
      <c r="N15" s="8" t="s">
        <v>59</v>
      </c>
      <c r="O15" s="1" t="s">
        <v>59</v>
      </c>
      <c r="P15" s="1" t="s">
        <v>60</v>
      </c>
    </row>
    <row r="16" spans="1:16" ht="57.6" x14ac:dyDescent="0.3">
      <c r="A16" s="1" t="s">
        <v>461</v>
      </c>
      <c r="B16" s="1" t="s">
        <v>394</v>
      </c>
      <c r="C16" s="1" t="s">
        <v>395</v>
      </c>
      <c r="D16" s="1" t="s">
        <v>387</v>
      </c>
      <c r="E16" s="1" t="s">
        <v>462</v>
      </c>
      <c r="F16" s="1" t="s">
        <v>30</v>
      </c>
      <c r="G16" s="1" t="s">
        <v>173</v>
      </c>
      <c r="H16" s="1" t="s">
        <v>24</v>
      </c>
      <c r="I16" s="1" t="s">
        <v>463</v>
      </c>
      <c r="J16" s="1" t="s">
        <v>464</v>
      </c>
      <c r="K16" s="1" t="s">
        <v>465</v>
      </c>
      <c r="L16" s="1" t="s">
        <v>59</v>
      </c>
      <c r="M16" s="8" t="s">
        <v>23</v>
      </c>
      <c r="N16" s="8" t="s">
        <v>59</v>
      </c>
      <c r="O16" s="1" t="s">
        <v>59</v>
      </c>
      <c r="P16" s="1" t="s">
        <v>101</v>
      </c>
    </row>
  </sheetData>
  <mergeCells count="2">
    <mergeCell ref="A2:H2"/>
    <mergeCell ref="A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xr:uid="{00000000-0002-0000-0900-000000000000}">
          <x14:formula1>
            <xm:f>Referensi!$A$1:$A$6</xm:f>
          </x14:formula1>
          <xm:sqref>M5:M9</xm:sqref>
        </x14:dataValidation>
        <x14:dataValidation type="list" allowBlank="1" xr:uid="{00000000-0002-0000-0900-000001000000}">
          <x14:formula1>
            <xm:f>Referensi!$B$1:$B$3</xm:f>
          </x14:formula1>
          <xm:sqref>H5:H9</xm:sqref>
        </x14:dataValidation>
        <x14:dataValidation type="list" allowBlank="1" xr:uid="{00000000-0002-0000-0900-000002000000}">
          <x14:formula1>
            <xm:f>Referensi!$C$1:$C$4</xm:f>
          </x14:formula1>
          <xm:sqref>F5:F9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4"/>
  <sheetViews>
    <sheetView showGridLines="0" workbookViewId="0"/>
  </sheetViews>
  <sheetFormatPr defaultRowHeight="14.4" x14ac:dyDescent="0.3"/>
  <cols>
    <col min="1" max="1" width="14" customWidth="1"/>
    <col min="2" max="2" width="16" customWidth="1"/>
    <col min="3" max="3" width="24" customWidth="1"/>
    <col min="4" max="4" width="22" customWidth="1"/>
    <col min="5" max="5" width="34" customWidth="1"/>
    <col min="6" max="6" width="14" customWidth="1"/>
    <col min="7" max="7" width="20" customWidth="1"/>
    <col min="8" max="8" width="10" customWidth="1"/>
    <col min="9" max="9" width="28" customWidth="1"/>
    <col min="10" max="10" width="46" customWidth="1"/>
    <col min="11" max="11" width="42" customWidth="1"/>
    <col min="12" max="12" width="20" customWidth="1"/>
    <col min="13" max="13" width="14" customWidth="1"/>
    <col min="14" max="15" width="26" customWidth="1"/>
    <col min="16" max="16" width="34" customWidth="1"/>
  </cols>
  <sheetData>
    <row r="1" spans="1:16" ht="24" customHeight="1" x14ac:dyDescent="0.3">
      <c r="A1" s="17" t="s">
        <v>2258</v>
      </c>
      <c r="B1" s="16"/>
      <c r="C1" s="16"/>
      <c r="D1" s="16"/>
      <c r="E1" s="16"/>
      <c r="F1" s="16"/>
      <c r="G1" s="16"/>
      <c r="H1" s="16"/>
    </row>
    <row r="2" spans="1:16" ht="36" customHeight="1" x14ac:dyDescent="0.3">
      <c r="A2" s="15" t="s">
        <v>34</v>
      </c>
      <c r="B2" s="16"/>
      <c r="C2" s="16"/>
      <c r="D2" s="16"/>
      <c r="E2" s="16"/>
      <c r="F2" s="16"/>
      <c r="G2" s="16"/>
      <c r="H2" s="16"/>
    </row>
    <row r="4" spans="1:16" x14ac:dyDescent="0.3">
      <c r="A4" s="5" t="s">
        <v>35</v>
      </c>
      <c r="B4" s="5" t="s">
        <v>36</v>
      </c>
      <c r="C4" s="5" t="s">
        <v>37</v>
      </c>
      <c r="D4" s="5" t="s">
        <v>38</v>
      </c>
      <c r="E4" s="5" t="s">
        <v>39</v>
      </c>
      <c r="F4" s="5" t="s">
        <v>40</v>
      </c>
      <c r="G4" s="5" t="s">
        <v>41</v>
      </c>
      <c r="H4" s="5" t="s">
        <v>42</v>
      </c>
      <c r="I4" s="5" t="s">
        <v>43</v>
      </c>
      <c r="J4" s="5" t="s">
        <v>44</v>
      </c>
      <c r="K4" s="5" t="s">
        <v>45</v>
      </c>
      <c r="L4" s="5" t="s">
        <v>46</v>
      </c>
      <c r="M4" s="5" t="s">
        <v>17</v>
      </c>
      <c r="N4" s="5" t="s">
        <v>47</v>
      </c>
      <c r="O4" s="5" t="s">
        <v>20</v>
      </c>
      <c r="P4" s="5" t="s">
        <v>48</v>
      </c>
    </row>
    <row r="5" spans="1:16" ht="57.6" x14ac:dyDescent="0.3">
      <c r="A5" s="1" t="s">
        <v>466</v>
      </c>
      <c r="B5" s="1" t="s">
        <v>394</v>
      </c>
      <c r="C5" s="1" t="s">
        <v>467</v>
      </c>
      <c r="D5" s="1" t="s">
        <v>468</v>
      </c>
      <c r="E5" s="1" t="s">
        <v>469</v>
      </c>
      <c r="F5" s="1" t="s">
        <v>25</v>
      </c>
      <c r="G5" s="1" t="s">
        <v>193</v>
      </c>
      <c r="H5" s="1" t="s">
        <v>24</v>
      </c>
      <c r="I5" s="1" t="s">
        <v>470</v>
      </c>
      <c r="J5" s="1" t="s">
        <v>471</v>
      </c>
      <c r="K5" s="1" t="s">
        <v>472</v>
      </c>
      <c r="L5" s="1" t="s">
        <v>473</v>
      </c>
      <c r="M5" s="8" t="s">
        <v>23</v>
      </c>
      <c r="N5" s="8" t="s">
        <v>59</v>
      </c>
      <c r="O5" s="1" t="s">
        <v>59</v>
      </c>
      <c r="P5" s="1" t="s">
        <v>60</v>
      </c>
    </row>
    <row r="6" spans="1:16" ht="43.2" x14ac:dyDescent="0.3">
      <c r="A6" s="1" t="s">
        <v>474</v>
      </c>
      <c r="B6" s="1" t="s">
        <v>394</v>
      </c>
      <c r="C6" s="1" t="s">
        <v>467</v>
      </c>
      <c r="D6" s="1" t="s">
        <v>475</v>
      </c>
      <c r="E6" s="1" t="s">
        <v>476</v>
      </c>
      <c r="F6" s="1" t="s">
        <v>28</v>
      </c>
      <c r="G6" s="1" t="s">
        <v>193</v>
      </c>
      <c r="H6" s="1" t="s">
        <v>24</v>
      </c>
      <c r="I6" s="1" t="s">
        <v>477</v>
      </c>
      <c r="J6" s="1" t="s">
        <v>478</v>
      </c>
      <c r="K6" s="1" t="s">
        <v>479</v>
      </c>
      <c r="L6" s="1" t="s">
        <v>59</v>
      </c>
      <c r="M6" s="8" t="s">
        <v>23</v>
      </c>
      <c r="N6" s="8" t="s">
        <v>59</v>
      </c>
      <c r="O6" s="1" t="s">
        <v>59</v>
      </c>
      <c r="P6" s="1" t="s">
        <v>60</v>
      </c>
    </row>
    <row r="7" spans="1:16" ht="57.6" x14ac:dyDescent="0.3">
      <c r="A7" s="1" t="s">
        <v>480</v>
      </c>
      <c r="B7" s="1" t="s">
        <v>394</v>
      </c>
      <c r="C7" s="1" t="s">
        <v>467</v>
      </c>
      <c r="D7" s="1" t="s">
        <v>481</v>
      </c>
      <c r="E7" s="1" t="s">
        <v>482</v>
      </c>
      <c r="F7" s="1" t="s">
        <v>31</v>
      </c>
      <c r="G7" s="1" t="s">
        <v>193</v>
      </c>
      <c r="H7" s="1" t="s">
        <v>24</v>
      </c>
      <c r="I7" s="1" t="s">
        <v>483</v>
      </c>
      <c r="J7" s="1" t="s">
        <v>484</v>
      </c>
      <c r="K7" s="1" t="s">
        <v>485</v>
      </c>
      <c r="L7" s="1" t="s">
        <v>59</v>
      </c>
      <c r="M7" s="8" t="s">
        <v>23</v>
      </c>
      <c r="N7" s="8" t="s">
        <v>59</v>
      </c>
      <c r="O7" s="1" t="s">
        <v>59</v>
      </c>
      <c r="P7" s="1" t="s">
        <v>60</v>
      </c>
    </row>
    <row r="8" spans="1:16" ht="57.6" x14ac:dyDescent="0.3">
      <c r="A8" s="1" t="s">
        <v>486</v>
      </c>
      <c r="B8" s="1" t="s">
        <v>394</v>
      </c>
      <c r="C8" s="1" t="s">
        <v>467</v>
      </c>
      <c r="D8" s="1" t="s">
        <v>487</v>
      </c>
      <c r="E8" s="1" t="s">
        <v>488</v>
      </c>
      <c r="F8" s="1" t="s">
        <v>25</v>
      </c>
      <c r="G8" s="1" t="s">
        <v>173</v>
      </c>
      <c r="H8" s="1" t="s">
        <v>27</v>
      </c>
      <c r="I8" s="1" t="s">
        <v>489</v>
      </c>
      <c r="J8" s="1" t="s">
        <v>490</v>
      </c>
      <c r="K8" s="1" t="s">
        <v>491</v>
      </c>
      <c r="L8" s="1" t="s">
        <v>59</v>
      </c>
      <c r="M8" s="8" t="s">
        <v>23</v>
      </c>
      <c r="N8" s="8" t="s">
        <v>59</v>
      </c>
      <c r="O8" s="1" t="s">
        <v>59</v>
      </c>
      <c r="P8" s="1" t="s">
        <v>60</v>
      </c>
    </row>
    <row r="9" spans="1:16" ht="57.6" x14ac:dyDescent="0.3">
      <c r="A9" s="1" t="s">
        <v>492</v>
      </c>
      <c r="B9" s="1" t="s">
        <v>394</v>
      </c>
      <c r="C9" s="1" t="s">
        <v>467</v>
      </c>
      <c r="D9" s="1" t="s">
        <v>493</v>
      </c>
      <c r="E9" s="1" t="s">
        <v>494</v>
      </c>
      <c r="F9" s="1" t="s">
        <v>25</v>
      </c>
      <c r="G9" s="1" t="s">
        <v>180</v>
      </c>
      <c r="H9" s="1" t="s">
        <v>27</v>
      </c>
      <c r="I9" s="1" t="s">
        <v>495</v>
      </c>
      <c r="J9" s="1" t="s">
        <v>496</v>
      </c>
      <c r="K9" s="1" t="s">
        <v>497</v>
      </c>
      <c r="L9" s="1" t="s">
        <v>59</v>
      </c>
      <c r="M9" s="8" t="s">
        <v>23</v>
      </c>
      <c r="N9" s="8" t="s">
        <v>59</v>
      </c>
      <c r="O9" s="1" t="s">
        <v>59</v>
      </c>
      <c r="P9" s="1" t="s">
        <v>263</v>
      </c>
    </row>
    <row r="10" spans="1:16" ht="57.6" x14ac:dyDescent="0.3">
      <c r="A10" s="1" t="s">
        <v>498</v>
      </c>
      <c r="B10" s="1" t="s">
        <v>394</v>
      </c>
      <c r="C10" s="1" t="s">
        <v>467</v>
      </c>
      <c r="D10" s="1" t="s">
        <v>499</v>
      </c>
      <c r="E10" s="1" t="s">
        <v>500</v>
      </c>
      <c r="F10" s="1" t="s">
        <v>25</v>
      </c>
      <c r="G10" s="1" t="s">
        <v>193</v>
      </c>
      <c r="H10" s="1" t="s">
        <v>27</v>
      </c>
      <c r="I10" s="1" t="s">
        <v>501</v>
      </c>
      <c r="J10" s="1" t="s">
        <v>502</v>
      </c>
      <c r="K10" s="1" t="s">
        <v>503</v>
      </c>
      <c r="L10" s="1" t="s">
        <v>59</v>
      </c>
      <c r="M10" s="8" t="s">
        <v>23</v>
      </c>
      <c r="N10" s="8" t="s">
        <v>59</v>
      </c>
      <c r="O10" s="1" t="s">
        <v>59</v>
      </c>
      <c r="P10" s="1" t="s">
        <v>60</v>
      </c>
    </row>
    <row r="11" spans="1:16" ht="43.2" x14ac:dyDescent="0.3">
      <c r="A11" s="1" t="s">
        <v>504</v>
      </c>
      <c r="B11" s="1" t="s">
        <v>394</v>
      </c>
      <c r="C11" s="1" t="s">
        <v>467</v>
      </c>
      <c r="D11" s="1" t="s">
        <v>505</v>
      </c>
      <c r="E11" s="1" t="s">
        <v>506</v>
      </c>
      <c r="F11" s="1" t="s">
        <v>28</v>
      </c>
      <c r="G11" s="1" t="s">
        <v>193</v>
      </c>
      <c r="H11" s="1" t="s">
        <v>24</v>
      </c>
      <c r="I11" s="1" t="s">
        <v>507</v>
      </c>
      <c r="J11" s="1" t="s">
        <v>508</v>
      </c>
      <c r="K11" s="1" t="s">
        <v>509</v>
      </c>
      <c r="L11" s="1" t="s">
        <v>510</v>
      </c>
      <c r="M11" s="8" t="s">
        <v>23</v>
      </c>
      <c r="N11" s="8" t="s">
        <v>59</v>
      </c>
      <c r="O11" s="1" t="s">
        <v>59</v>
      </c>
      <c r="P11" s="1" t="s">
        <v>60</v>
      </c>
    </row>
    <row r="12" spans="1:16" ht="57.6" x14ac:dyDescent="0.3">
      <c r="A12" s="1" t="s">
        <v>511</v>
      </c>
      <c r="B12" s="1" t="s">
        <v>394</v>
      </c>
      <c r="C12" s="1" t="s">
        <v>467</v>
      </c>
      <c r="D12" s="1" t="s">
        <v>512</v>
      </c>
      <c r="E12" s="1" t="s">
        <v>513</v>
      </c>
      <c r="F12" s="1" t="s">
        <v>28</v>
      </c>
      <c r="G12" s="1" t="s">
        <v>180</v>
      </c>
      <c r="H12" s="1" t="s">
        <v>27</v>
      </c>
      <c r="I12" s="1" t="s">
        <v>514</v>
      </c>
      <c r="J12" s="1" t="s">
        <v>515</v>
      </c>
      <c r="K12" s="1" t="s">
        <v>516</v>
      </c>
      <c r="L12" s="1" t="s">
        <v>59</v>
      </c>
      <c r="M12" s="8" t="s">
        <v>23</v>
      </c>
      <c r="N12" s="8" t="s">
        <v>59</v>
      </c>
      <c r="O12" s="1" t="s">
        <v>59</v>
      </c>
      <c r="P12" s="1" t="s">
        <v>88</v>
      </c>
    </row>
    <row r="13" spans="1:16" ht="72" x14ac:dyDescent="0.3">
      <c r="A13" s="1" t="s">
        <v>517</v>
      </c>
      <c r="B13" s="1" t="s">
        <v>394</v>
      </c>
      <c r="C13" s="1" t="s">
        <v>467</v>
      </c>
      <c r="D13" s="1" t="s">
        <v>518</v>
      </c>
      <c r="E13" s="1" t="s">
        <v>519</v>
      </c>
      <c r="F13" s="1" t="s">
        <v>25</v>
      </c>
      <c r="G13" s="1" t="s">
        <v>173</v>
      </c>
      <c r="H13" s="1" t="s">
        <v>29</v>
      </c>
      <c r="I13" s="1" t="s">
        <v>520</v>
      </c>
      <c r="J13" s="1" t="s">
        <v>521</v>
      </c>
      <c r="K13" s="1" t="s">
        <v>522</v>
      </c>
      <c r="L13" s="1" t="s">
        <v>59</v>
      </c>
      <c r="M13" s="8" t="s">
        <v>23</v>
      </c>
      <c r="N13" s="8" t="s">
        <v>59</v>
      </c>
      <c r="O13" s="1" t="s">
        <v>59</v>
      </c>
      <c r="P13" s="1" t="s">
        <v>263</v>
      </c>
    </row>
    <row r="14" spans="1:16" ht="57.6" x14ac:dyDescent="0.3">
      <c r="A14" s="1" t="s">
        <v>523</v>
      </c>
      <c r="B14" s="1" t="s">
        <v>394</v>
      </c>
      <c r="C14" s="1" t="s">
        <v>467</v>
      </c>
      <c r="D14" s="1" t="s">
        <v>524</v>
      </c>
      <c r="E14" s="1" t="s">
        <v>525</v>
      </c>
      <c r="F14" s="1" t="s">
        <v>30</v>
      </c>
      <c r="G14" s="1" t="s">
        <v>186</v>
      </c>
      <c r="H14" s="1" t="s">
        <v>27</v>
      </c>
      <c r="I14" s="1" t="s">
        <v>526</v>
      </c>
      <c r="J14" s="1" t="s">
        <v>527</v>
      </c>
      <c r="K14" s="1" t="s">
        <v>528</v>
      </c>
      <c r="L14" s="1" t="s">
        <v>59</v>
      </c>
      <c r="M14" s="8" t="s">
        <v>23</v>
      </c>
      <c r="N14" s="8" t="s">
        <v>59</v>
      </c>
      <c r="O14" s="1" t="s">
        <v>59</v>
      </c>
      <c r="P14" s="1" t="s">
        <v>101</v>
      </c>
    </row>
  </sheetData>
  <mergeCells count="2">
    <mergeCell ref="A2:H2"/>
    <mergeCell ref="A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xr:uid="{00000000-0002-0000-0A00-000000000000}">
          <x14:formula1>
            <xm:f>Referensi!$A$1:$A$6</xm:f>
          </x14:formula1>
          <xm:sqref>M5:M8</xm:sqref>
        </x14:dataValidation>
        <x14:dataValidation type="list" allowBlank="1" xr:uid="{00000000-0002-0000-0A00-000001000000}">
          <x14:formula1>
            <xm:f>Referensi!$B$1:$B$3</xm:f>
          </x14:formula1>
          <xm:sqref>H5:H8</xm:sqref>
        </x14:dataValidation>
        <x14:dataValidation type="list" allowBlank="1" xr:uid="{00000000-0002-0000-0A00-000002000000}">
          <x14:formula1>
            <xm:f>Referensi!$C$1:$C$4</xm:f>
          </x14:formula1>
          <xm:sqref>F5:F8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12"/>
  <sheetViews>
    <sheetView showGridLines="0" workbookViewId="0"/>
  </sheetViews>
  <sheetFormatPr defaultRowHeight="14.4" x14ac:dyDescent="0.3"/>
  <cols>
    <col min="1" max="1" width="14" customWidth="1"/>
    <col min="2" max="2" width="16" customWidth="1"/>
    <col min="3" max="3" width="24" customWidth="1"/>
    <col min="4" max="4" width="22" customWidth="1"/>
    <col min="5" max="5" width="34" customWidth="1"/>
    <col min="6" max="6" width="14" customWidth="1"/>
    <col min="7" max="7" width="20" customWidth="1"/>
    <col min="8" max="8" width="10" customWidth="1"/>
    <col min="9" max="9" width="28" customWidth="1"/>
    <col min="10" max="10" width="46" customWidth="1"/>
    <col min="11" max="11" width="42" customWidth="1"/>
    <col min="12" max="12" width="20" customWidth="1"/>
    <col min="13" max="13" width="14" customWidth="1"/>
    <col min="14" max="15" width="26" customWidth="1"/>
    <col min="16" max="16" width="34" customWidth="1"/>
  </cols>
  <sheetData>
    <row r="1" spans="1:16" ht="24" customHeight="1" x14ac:dyDescent="0.3">
      <c r="A1" s="17" t="s">
        <v>2259</v>
      </c>
      <c r="B1" s="16"/>
      <c r="C1" s="16"/>
      <c r="D1" s="16"/>
      <c r="E1" s="16"/>
      <c r="F1" s="16"/>
      <c r="G1" s="16"/>
      <c r="H1" s="16"/>
    </row>
    <row r="2" spans="1:16" ht="36" customHeight="1" x14ac:dyDescent="0.3">
      <c r="A2" s="15" t="s">
        <v>34</v>
      </c>
      <c r="B2" s="16"/>
      <c r="C2" s="16"/>
      <c r="D2" s="16"/>
      <c r="E2" s="16"/>
      <c r="F2" s="16"/>
      <c r="G2" s="16"/>
      <c r="H2" s="16"/>
    </row>
    <row r="4" spans="1:16" x14ac:dyDescent="0.3">
      <c r="A4" s="5" t="s">
        <v>35</v>
      </c>
      <c r="B4" s="5" t="s">
        <v>36</v>
      </c>
      <c r="C4" s="5" t="s">
        <v>37</v>
      </c>
      <c r="D4" s="5" t="s">
        <v>38</v>
      </c>
      <c r="E4" s="5" t="s">
        <v>39</v>
      </c>
      <c r="F4" s="5" t="s">
        <v>40</v>
      </c>
      <c r="G4" s="5" t="s">
        <v>41</v>
      </c>
      <c r="H4" s="5" t="s">
        <v>42</v>
      </c>
      <c r="I4" s="5" t="s">
        <v>43</v>
      </c>
      <c r="J4" s="5" t="s">
        <v>44</v>
      </c>
      <c r="K4" s="5" t="s">
        <v>45</v>
      </c>
      <c r="L4" s="5" t="s">
        <v>46</v>
      </c>
      <c r="M4" s="5" t="s">
        <v>17</v>
      </c>
      <c r="N4" s="5" t="s">
        <v>47</v>
      </c>
      <c r="O4" s="5" t="s">
        <v>20</v>
      </c>
      <c r="P4" s="5" t="s">
        <v>48</v>
      </c>
    </row>
    <row r="5" spans="1:16" ht="57.6" x14ac:dyDescent="0.3">
      <c r="A5" s="1" t="s">
        <v>529</v>
      </c>
      <c r="B5" s="1" t="s">
        <v>394</v>
      </c>
      <c r="C5" s="1" t="s">
        <v>530</v>
      </c>
      <c r="D5" s="1" t="s">
        <v>531</v>
      </c>
      <c r="E5" s="1" t="s">
        <v>532</v>
      </c>
      <c r="F5" s="1" t="s">
        <v>25</v>
      </c>
      <c r="G5" s="1" t="s">
        <v>97</v>
      </c>
      <c r="H5" s="1" t="s">
        <v>24</v>
      </c>
      <c r="I5" s="1" t="s">
        <v>533</v>
      </c>
      <c r="J5" s="1" t="s">
        <v>534</v>
      </c>
      <c r="K5" s="1" t="s">
        <v>535</v>
      </c>
      <c r="L5" s="1" t="s">
        <v>59</v>
      </c>
      <c r="M5" s="8" t="s">
        <v>23</v>
      </c>
      <c r="N5" s="8" t="s">
        <v>59</v>
      </c>
      <c r="O5" s="1" t="s">
        <v>59</v>
      </c>
      <c r="P5" s="1" t="s">
        <v>60</v>
      </c>
    </row>
    <row r="6" spans="1:16" ht="57.6" x14ac:dyDescent="0.3">
      <c r="A6" s="1" t="s">
        <v>536</v>
      </c>
      <c r="B6" s="1" t="s">
        <v>394</v>
      </c>
      <c r="C6" s="1" t="s">
        <v>530</v>
      </c>
      <c r="D6" s="1" t="s">
        <v>524</v>
      </c>
      <c r="E6" s="1" t="s">
        <v>537</v>
      </c>
      <c r="F6" s="1" t="s">
        <v>30</v>
      </c>
      <c r="G6" s="1" t="s">
        <v>538</v>
      </c>
      <c r="H6" s="1" t="s">
        <v>27</v>
      </c>
      <c r="I6" s="1" t="s">
        <v>539</v>
      </c>
      <c r="J6" s="1" t="s">
        <v>540</v>
      </c>
      <c r="K6" s="1" t="s">
        <v>541</v>
      </c>
      <c r="L6" s="1" t="s">
        <v>59</v>
      </c>
      <c r="M6" s="8" t="s">
        <v>23</v>
      </c>
      <c r="N6" s="8" t="s">
        <v>59</v>
      </c>
      <c r="O6" s="1" t="s">
        <v>59</v>
      </c>
      <c r="P6" s="1" t="s">
        <v>60</v>
      </c>
    </row>
    <row r="7" spans="1:16" ht="57.6" x14ac:dyDescent="0.3">
      <c r="A7" s="1" t="s">
        <v>542</v>
      </c>
      <c r="B7" s="1" t="s">
        <v>394</v>
      </c>
      <c r="C7" s="1" t="s">
        <v>530</v>
      </c>
      <c r="D7" s="1" t="s">
        <v>543</v>
      </c>
      <c r="E7" s="1" t="s">
        <v>544</v>
      </c>
      <c r="F7" s="1" t="s">
        <v>25</v>
      </c>
      <c r="G7" s="1" t="s">
        <v>97</v>
      </c>
      <c r="H7" s="1" t="s">
        <v>27</v>
      </c>
      <c r="I7" s="1" t="s">
        <v>545</v>
      </c>
      <c r="J7" s="1" t="s">
        <v>546</v>
      </c>
      <c r="K7" s="1" t="s">
        <v>547</v>
      </c>
      <c r="L7" s="1" t="s">
        <v>59</v>
      </c>
      <c r="M7" s="8" t="s">
        <v>23</v>
      </c>
      <c r="N7" s="8" t="s">
        <v>59</v>
      </c>
      <c r="O7" s="1" t="s">
        <v>59</v>
      </c>
      <c r="P7" s="1" t="s">
        <v>88</v>
      </c>
    </row>
    <row r="8" spans="1:16" ht="72" x14ac:dyDescent="0.3">
      <c r="A8" s="1" t="s">
        <v>548</v>
      </c>
      <c r="B8" s="1" t="s">
        <v>394</v>
      </c>
      <c r="C8" s="1" t="s">
        <v>530</v>
      </c>
      <c r="D8" s="1" t="s">
        <v>549</v>
      </c>
      <c r="E8" s="1" t="s">
        <v>550</v>
      </c>
      <c r="F8" s="1" t="s">
        <v>25</v>
      </c>
      <c r="G8" s="1" t="s">
        <v>97</v>
      </c>
      <c r="H8" s="1" t="s">
        <v>27</v>
      </c>
      <c r="I8" s="1" t="s">
        <v>551</v>
      </c>
      <c r="J8" s="1" t="s">
        <v>552</v>
      </c>
      <c r="K8" s="1" t="s">
        <v>553</v>
      </c>
      <c r="L8" s="1" t="s">
        <v>59</v>
      </c>
      <c r="M8" s="8" t="s">
        <v>23</v>
      </c>
      <c r="N8" s="8" t="s">
        <v>59</v>
      </c>
      <c r="O8" s="1" t="s">
        <v>59</v>
      </c>
      <c r="P8" s="1" t="s">
        <v>263</v>
      </c>
    </row>
    <row r="9" spans="1:16" ht="57.6" x14ac:dyDescent="0.3">
      <c r="A9" s="1" t="s">
        <v>554</v>
      </c>
      <c r="B9" s="1" t="s">
        <v>394</v>
      </c>
      <c r="C9" s="1" t="s">
        <v>530</v>
      </c>
      <c r="D9" s="1" t="s">
        <v>555</v>
      </c>
      <c r="E9" s="1" t="s">
        <v>556</v>
      </c>
      <c r="F9" s="1" t="s">
        <v>25</v>
      </c>
      <c r="G9" s="1" t="s">
        <v>97</v>
      </c>
      <c r="H9" s="1" t="s">
        <v>27</v>
      </c>
      <c r="I9" s="1" t="s">
        <v>557</v>
      </c>
      <c r="J9" s="1" t="s">
        <v>558</v>
      </c>
      <c r="K9" s="1" t="s">
        <v>559</v>
      </c>
      <c r="L9" s="1" t="s">
        <v>59</v>
      </c>
      <c r="M9" s="8" t="s">
        <v>23</v>
      </c>
      <c r="N9" s="8" t="s">
        <v>59</v>
      </c>
      <c r="O9" s="1" t="s">
        <v>59</v>
      </c>
      <c r="P9" s="1" t="s">
        <v>60</v>
      </c>
    </row>
    <row r="10" spans="1:16" ht="72" x14ac:dyDescent="0.3">
      <c r="A10" s="1" t="s">
        <v>560</v>
      </c>
      <c r="B10" s="1" t="s">
        <v>394</v>
      </c>
      <c r="C10" s="1" t="s">
        <v>530</v>
      </c>
      <c r="D10" s="1" t="s">
        <v>561</v>
      </c>
      <c r="E10" s="1" t="s">
        <v>562</v>
      </c>
      <c r="F10" s="1" t="s">
        <v>25</v>
      </c>
      <c r="G10" s="1" t="s">
        <v>97</v>
      </c>
      <c r="H10" s="1" t="s">
        <v>24</v>
      </c>
      <c r="I10" s="1" t="s">
        <v>563</v>
      </c>
      <c r="J10" s="1" t="s">
        <v>564</v>
      </c>
      <c r="K10" s="1" t="s">
        <v>565</v>
      </c>
      <c r="L10" s="1" t="s">
        <v>59</v>
      </c>
      <c r="M10" s="8" t="s">
        <v>23</v>
      </c>
      <c r="N10" s="8" t="s">
        <v>59</v>
      </c>
      <c r="O10" s="1" t="s">
        <v>59</v>
      </c>
      <c r="P10" s="1" t="s">
        <v>81</v>
      </c>
    </row>
    <row r="11" spans="1:16" ht="57.6" x14ac:dyDescent="0.3">
      <c r="A11" s="1" t="s">
        <v>566</v>
      </c>
      <c r="B11" s="1" t="s">
        <v>394</v>
      </c>
      <c r="C11" s="1" t="s">
        <v>530</v>
      </c>
      <c r="D11" s="1" t="s">
        <v>524</v>
      </c>
      <c r="E11" s="1" t="s">
        <v>567</v>
      </c>
      <c r="F11" s="1" t="s">
        <v>30</v>
      </c>
      <c r="G11" s="1" t="s">
        <v>97</v>
      </c>
      <c r="H11" s="1" t="s">
        <v>24</v>
      </c>
      <c r="I11" s="1" t="s">
        <v>568</v>
      </c>
      <c r="J11" s="1" t="s">
        <v>569</v>
      </c>
      <c r="K11" s="1" t="s">
        <v>570</v>
      </c>
      <c r="L11" s="1" t="s">
        <v>59</v>
      </c>
      <c r="M11" s="8" t="s">
        <v>23</v>
      </c>
      <c r="N11" s="8" t="s">
        <v>59</v>
      </c>
      <c r="O11" s="1" t="s">
        <v>59</v>
      </c>
      <c r="P11" s="1" t="s">
        <v>263</v>
      </c>
    </row>
    <row r="12" spans="1:16" ht="57.6" x14ac:dyDescent="0.3">
      <c r="A12" s="1" t="s">
        <v>571</v>
      </c>
      <c r="B12" s="1" t="s">
        <v>394</v>
      </c>
      <c r="C12" s="1" t="s">
        <v>530</v>
      </c>
      <c r="D12" s="1" t="s">
        <v>387</v>
      </c>
      <c r="E12" s="1" t="s">
        <v>572</v>
      </c>
      <c r="F12" s="1" t="s">
        <v>30</v>
      </c>
      <c r="G12" s="1" t="s">
        <v>173</v>
      </c>
      <c r="H12" s="1" t="s">
        <v>24</v>
      </c>
      <c r="I12" s="1" t="s">
        <v>573</v>
      </c>
      <c r="J12" s="1" t="s">
        <v>574</v>
      </c>
      <c r="K12" s="1" t="s">
        <v>575</v>
      </c>
      <c r="L12" s="1" t="s">
        <v>59</v>
      </c>
      <c r="M12" s="8" t="s">
        <v>23</v>
      </c>
      <c r="N12" s="8" t="s">
        <v>59</v>
      </c>
      <c r="O12" s="1" t="s">
        <v>59</v>
      </c>
      <c r="P12" s="1" t="s">
        <v>101</v>
      </c>
    </row>
  </sheetData>
  <mergeCells count="2">
    <mergeCell ref="A2:H2"/>
    <mergeCell ref="A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xr:uid="{00000000-0002-0000-0B00-000000000000}">
          <x14:formula1>
            <xm:f>Referensi!$A$1:$A$6</xm:f>
          </x14:formula1>
          <xm:sqref>M5:M7</xm:sqref>
        </x14:dataValidation>
        <x14:dataValidation type="list" allowBlank="1" xr:uid="{00000000-0002-0000-0B00-000001000000}">
          <x14:formula1>
            <xm:f>Referensi!$B$1:$B$3</xm:f>
          </x14:formula1>
          <xm:sqref>H5:H7</xm:sqref>
        </x14:dataValidation>
        <x14:dataValidation type="list" allowBlank="1" xr:uid="{00000000-0002-0000-0B00-000002000000}">
          <x14:formula1>
            <xm:f>Referensi!$C$1:$C$4</xm:f>
          </x14:formula1>
          <xm:sqref>F5:F7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6"/>
  <sheetViews>
    <sheetView showGridLines="0" workbookViewId="0"/>
  </sheetViews>
  <sheetFormatPr defaultRowHeight="14.4" x14ac:dyDescent="0.3"/>
  <cols>
    <col min="1" max="1" width="14" customWidth="1"/>
    <col min="2" max="2" width="16" customWidth="1"/>
    <col min="3" max="3" width="24" customWidth="1"/>
    <col min="4" max="4" width="22" customWidth="1"/>
    <col min="5" max="5" width="34" customWidth="1"/>
    <col min="6" max="6" width="14" customWidth="1"/>
    <col min="7" max="7" width="20" customWidth="1"/>
    <col min="8" max="8" width="10" customWidth="1"/>
    <col min="9" max="9" width="28" customWidth="1"/>
    <col min="10" max="10" width="46" customWidth="1"/>
    <col min="11" max="11" width="42" customWidth="1"/>
    <col min="12" max="12" width="20" customWidth="1"/>
    <col min="13" max="13" width="14" customWidth="1"/>
    <col min="14" max="15" width="26" customWidth="1"/>
    <col min="16" max="16" width="34" customWidth="1"/>
  </cols>
  <sheetData>
    <row r="1" spans="1:16" ht="24" customHeight="1" x14ac:dyDescent="0.3">
      <c r="A1" s="17" t="s">
        <v>2260</v>
      </c>
      <c r="B1" s="16"/>
      <c r="C1" s="16"/>
      <c r="D1" s="16"/>
      <c r="E1" s="16"/>
      <c r="F1" s="16"/>
      <c r="G1" s="16"/>
      <c r="H1" s="16"/>
    </row>
    <row r="2" spans="1:16" ht="36" customHeight="1" x14ac:dyDescent="0.3">
      <c r="A2" s="15" t="s">
        <v>34</v>
      </c>
      <c r="B2" s="16"/>
      <c r="C2" s="16"/>
      <c r="D2" s="16"/>
      <c r="E2" s="16"/>
      <c r="F2" s="16"/>
      <c r="G2" s="16"/>
      <c r="H2" s="16"/>
    </row>
    <row r="4" spans="1:16" x14ac:dyDescent="0.3">
      <c r="A4" s="5" t="s">
        <v>35</v>
      </c>
      <c r="B4" s="5" t="s">
        <v>36</v>
      </c>
      <c r="C4" s="5" t="s">
        <v>37</v>
      </c>
      <c r="D4" s="5" t="s">
        <v>38</v>
      </c>
      <c r="E4" s="5" t="s">
        <v>39</v>
      </c>
      <c r="F4" s="5" t="s">
        <v>40</v>
      </c>
      <c r="G4" s="5" t="s">
        <v>41</v>
      </c>
      <c r="H4" s="5" t="s">
        <v>42</v>
      </c>
      <c r="I4" s="5" t="s">
        <v>43</v>
      </c>
      <c r="J4" s="5" t="s">
        <v>44</v>
      </c>
      <c r="K4" s="5" t="s">
        <v>45</v>
      </c>
      <c r="L4" s="5" t="s">
        <v>46</v>
      </c>
      <c r="M4" s="5" t="s">
        <v>17</v>
      </c>
      <c r="N4" s="5" t="s">
        <v>47</v>
      </c>
      <c r="O4" s="5" t="s">
        <v>20</v>
      </c>
      <c r="P4" s="5" t="s">
        <v>48</v>
      </c>
    </row>
    <row r="5" spans="1:16" ht="72" x14ac:dyDescent="0.3">
      <c r="A5" s="1" t="s">
        <v>576</v>
      </c>
      <c r="B5" s="1" t="s">
        <v>577</v>
      </c>
      <c r="C5" s="1" t="s">
        <v>578</v>
      </c>
      <c r="D5" s="1" t="s">
        <v>579</v>
      </c>
      <c r="E5" s="1" t="s">
        <v>580</v>
      </c>
      <c r="F5" s="1" t="s">
        <v>25</v>
      </c>
      <c r="G5" s="1" t="s">
        <v>212</v>
      </c>
      <c r="H5" s="1" t="s">
        <v>24</v>
      </c>
      <c r="I5" s="1" t="s">
        <v>581</v>
      </c>
      <c r="J5" s="1" t="s">
        <v>582</v>
      </c>
      <c r="K5" s="1" t="s">
        <v>583</v>
      </c>
      <c r="L5" s="1" t="s">
        <v>59</v>
      </c>
      <c r="M5" s="8" t="s">
        <v>23</v>
      </c>
      <c r="N5" s="8" t="s">
        <v>59</v>
      </c>
      <c r="O5" s="1" t="s">
        <v>59</v>
      </c>
      <c r="P5" s="1" t="s">
        <v>60</v>
      </c>
    </row>
    <row r="6" spans="1:16" ht="72" x14ac:dyDescent="0.3">
      <c r="A6" s="1" t="s">
        <v>584</v>
      </c>
      <c r="B6" s="1" t="s">
        <v>577</v>
      </c>
      <c r="C6" s="1" t="s">
        <v>578</v>
      </c>
      <c r="D6" s="1" t="s">
        <v>585</v>
      </c>
      <c r="E6" s="1" t="s">
        <v>586</v>
      </c>
      <c r="F6" s="1" t="s">
        <v>31</v>
      </c>
      <c r="G6" s="1" t="s">
        <v>212</v>
      </c>
      <c r="H6" s="1" t="s">
        <v>24</v>
      </c>
      <c r="I6" s="1" t="s">
        <v>587</v>
      </c>
      <c r="J6" s="1" t="s">
        <v>588</v>
      </c>
      <c r="K6" s="1" t="s">
        <v>589</v>
      </c>
      <c r="L6" s="1" t="s">
        <v>59</v>
      </c>
      <c r="M6" s="8" t="s">
        <v>23</v>
      </c>
      <c r="N6" s="8" t="s">
        <v>59</v>
      </c>
      <c r="O6" s="1" t="s">
        <v>59</v>
      </c>
      <c r="P6" s="1" t="s">
        <v>60</v>
      </c>
    </row>
    <row r="7" spans="1:16" ht="72" x14ac:dyDescent="0.3">
      <c r="A7" s="1" t="s">
        <v>590</v>
      </c>
      <c r="B7" s="1" t="s">
        <v>577</v>
      </c>
      <c r="C7" s="1" t="s">
        <v>578</v>
      </c>
      <c r="D7" s="1" t="s">
        <v>591</v>
      </c>
      <c r="E7" s="1" t="s">
        <v>592</v>
      </c>
      <c r="F7" s="1" t="s">
        <v>25</v>
      </c>
      <c r="G7" s="1" t="s">
        <v>212</v>
      </c>
      <c r="H7" s="1" t="s">
        <v>27</v>
      </c>
      <c r="I7" s="1" t="s">
        <v>593</v>
      </c>
      <c r="J7" s="1" t="s">
        <v>594</v>
      </c>
      <c r="K7" s="1" t="s">
        <v>595</v>
      </c>
      <c r="L7" s="1" t="s">
        <v>59</v>
      </c>
      <c r="M7" s="8" t="s">
        <v>23</v>
      </c>
      <c r="N7" s="8" t="s">
        <v>59</v>
      </c>
      <c r="O7" s="1" t="s">
        <v>59</v>
      </c>
      <c r="P7" s="1" t="s">
        <v>60</v>
      </c>
    </row>
    <row r="8" spans="1:16" ht="57.6" x14ac:dyDescent="0.3">
      <c r="A8" s="1" t="s">
        <v>596</v>
      </c>
      <c r="B8" s="1" t="s">
        <v>577</v>
      </c>
      <c r="C8" s="1" t="s">
        <v>578</v>
      </c>
      <c r="D8" s="1" t="s">
        <v>597</v>
      </c>
      <c r="E8" s="1" t="s">
        <v>598</v>
      </c>
      <c r="F8" s="1" t="s">
        <v>25</v>
      </c>
      <c r="G8" s="1" t="s">
        <v>212</v>
      </c>
      <c r="H8" s="1" t="s">
        <v>27</v>
      </c>
      <c r="I8" s="1" t="s">
        <v>593</v>
      </c>
      <c r="J8" s="1" t="s">
        <v>599</v>
      </c>
      <c r="K8" s="1" t="s">
        <v>600</v>
      </c>
      <c r="L8" s="1" t="s">
        <v>59</v>
      </c>
      <c r="M8" s="8" t="s">
        <v>23</v>
      </c>
      <c r="N8" s="8" t="s">
        <v>59</v>
      </c>
      <c r="O8" s="1" t="s">
        <v>59</v>
      </c>
      <c r="P8" s="1" t="s">
        <v>60</v>
      </c>
    </row>
    <row r="9" spans="1:16" ht="43.2" x14ac:dyDescent="0.3">
      <c r="A9" s="1" t="s">
        <v>601</v>
      </c>
      <c r="B9" s="1" t="s">
        <v>577</v>
      </c>
      <c r="C9" s="1" t="s">
        <v>578</v>
      </c>
      <c r="D9" s="1" t="s">
        <v>450</v>
      </c>
      <c r="E9" s="1" t="s">
        <v>602</v>
      </c>
      <c r="F9" s="1" t="s">
        <v>30</v>
      </c>
      <c r="G9" s="1" t="s">
        <v>186</v>
      </c>
      <c r="H9" s="1" t="s">
        <v>24</v>
      </c>
      <c r="I9" s="1" t="s">
        <v>603</v>
      </c>
      <c r="J9" s="1" t="s">
        <v>604</v>
      </c>
      <c r="K9" s="1" t="s">
        <v>605</v>
      </c>
      <c r="L9" s="1" t="s">
        <v>59</v>
      </c>
      <c r="M9" s="8" t="s">
        <v>23</v>
      </c>
      <c r="N9" s="8" t="s">
        <v>59</v>
      </c>
      <c r="O9" s="1" t="s">
        <v>59</v>
      </c>
      <c r="P9" s="1" t="s">
        <v>101</v>
      </c>
    </row>
    <row r="10" spans="1:16" ht="57.6" x14ac:dyDescent="0.3">
      <c r="A10" s="1" t="s">
        <v>606</v>
      </c>
      <c r="B10" s="1" t="s">
        <v>577</v>
      </c>
      <c r="C10" s="1" t="s">
        <v>578</v>
      </c>
      <c r="D10" s="1" t="s">
        <v>607</v>
      </c>
      <c r="E10" s="1" t="s">
        <v>608</v>
      </c>
      <c r="F10" s="1" t="s">
        <v>25</v>
      </c>
      <c r="G10" s="1" t="s">
        <v>97</v>
      </c>
      <c r="H10" s="1" t="s">
        <v>29</v>
      </c>
      <c r="I10" s="1" t="s">
        <v>609</v>
      </c>
      <c r="J10" s="1" t="s">
        <v>610</v>
      </c>
      <c r="K10" s="1" t="s">
        <v>611</v>
      </c>
      <c r="L10" s="1" t="s">
        <v>59</v>
      </c>
      <c r="M10" s="8" t="s">
        <v>23</v>
      </c>
      <c r="N10" s="8" t="s">
        <v>59</v>
      </c>
      <c r="O10" s="1" t="s">
        <v>59</v>
      </c>
      <c r="P10" s="1" t="s">
        <v>81</v>
      </c>
    </row>
    <row r="11" spans="1:16" ht="43.2" x14ac:dyDescent="0.3">
      <c r="A11" s="1" t="s">
        <v>612</v>
      </c>
      <c r="B11" s="1" t="s">
        <v>577</v>
      </c>
      <c r="C11" s="1" t="s">
        <v>578</v>
      </c>
      <c r="D11" s="1" t="s">
        <v>613</v>
      </c>
      <c r="E11" s="1" t="s">
        <v>614</v>
      </c>
      <c r="F11" s="1" t="s">
        <v>31</v>
      </c>
      <c r="G11" s="1" t="s">
        <v>180</v>
      </c>
      <c r="H11" s="1" t="s">
        <v>24</v>
      </c>
      <c r="I11" s="1" t="s">
        <v>615</v>
      </c>
      <c r="J11" s="1" t="s">
        <v>616</v>
      </c>
      <c r="K11" s="1" t="s">
        <v>617</v>
      </c>
      <c r="L11" s="1" t="s">
        <v>59</v>
      </c>
      <c r="M11" s="8" t="s">
        <v>23</v>
      </c>
      <c r="N11" s="8" t="s">
        <v>59</v>
      </c>
      <c r="O11" s="1" t="s">
        <v>59</v>
      </c>
      <c r="P11" s="1" t="s">
        <v>263</v>
      </c>
    </row>
    <row r="12" spans="1:16" ht="57.6" x14ac:dyDescent="0.3">
      <c r="A12" s="1" t="s">
        <v>618</v>
      </c>
      <c r="B12" s="1" t="s">
        <v>577</v>
      </c>
      <c r="C12" s="1" t="s">
        <v>578</v>
      </c>
      <c r="D12" s="1" t="s">
        <v>619</v>
      </c>
      <c r="E12" s="1" t="s">
        <v>620</v>
      </c>
      <c r="F12" s="1" t="s">
        <v>28</v>
      </c>
      <c r="G12" s="1" t="s">
        <v>180</v>
      </c>
      <c r="H12" s="1" t="s">
        <v>24</v>
      </c>
      <c r="I12" s="1" t="s">
        <v>621</v>
      </c>
      <c r="J12" s="1" t="s">
        <v>622</v>
      </c>
      <c r="K12" s="1" t="s">
        <v>623</v>
      </c>
      <c r="L12" s="1" t="s">
        <v>59</v>
      </c>
      <c r="M12" s="8" t="s">
        <v>23</v>
      </c>
      <c r="N12" s="8" t="s">
        <v>59</v>
      </c>
      <c r="O12" s="1" t="s">
        <v>59</v>
      </c>
      <c r="P12" s="1" t="s">
        <v>81</v>
      </c>
    </row>
    <row r="13" spans="1:16" ht="57.6" x14ac:dyDescent="0.3">
      <c r="A13" s="1" t="s">
        <v>624</v>
      </c>
      <c r="B13" s="1" t="s">
        <v>577</v>
      </c>
      <c r="C13" s="1" t="s">
        <v>578</v>
      </c>
      <c r="D13" s="1" t="s">
        <v>591</v>
      </c>
      <c r="E13" s="1" t="s">
        <v>625</v>
      </c>
      <c r="F13" s="1" t="s">
        <v>25</v>
      </c>
      <c r="G13" s="1" t="s">
        <v>180</v>
      </c>
      <c r="H13" s="1" t="s">
        <v>27</v>
      </c>
      <c r="I13" s="1" t="s">
        <v>626</v>
      </c>
      <c r="J13" s="1" t="s">
        <v>627</v>
      </c>
      <c r="K13" s="1" t="s">
        <v>628</v>
      </c>
      <c r="L13" s="1" t="s">
        <v>59</v>
      </c>
      <c r="M13" s="8" t="s">
        <v>23</v>
      </c>
      <c r="N13" s="8" t="s">
        <v>59</v>
      </c>
      <c r="O13" s="1" t="s">
        <v>59</v>
      </c>
      <c r="P13" s="1" t="s">
        <v>60</v>
      </c>
    </row>
    <row r="14" spans="1:16" ht="57.6" x14ac:dyDescent="0.3">
      <c r="A14" s="1" t="s">
        <v>629</v>
      </c>
      <c r="B14" s="1" t="s">
        <v>577</v>
      </c>
      <c r="C14" s="1" t="s">
        <v>578</v>
      </c>
      <c r="D14" s="1" t="s">
        <v>597</v>
      </c>
      <c r="E14" s="1" t="s">
        <v>630</v>
      </c>
      <c r="F14" s="1" t="s">
        <v>25</v>
      </c>
      <c r="G14" s="1" t="s">
        <v>180</v>
      </c>
      <c r="H14" s="1" t="s">
        <v>27</v>
      </c>
      <c r="I14" s="1" t="s">
        <v>631</v>
      </c>
      <c r="J14" s="1" t="s">
        <v>632</v>
      </c>
      <c r="K14" s="1" t="s">
        <v>633</v>
      </c>
      <c r="L14" s="1" t="s">
        <v>59</v>
      </c>
      <c r="M14" s="8" t="s">
        <v>23</v>
      </c>
      <c r="N14" s="8" t="s">
        <v>59</v>
      </c>
      <c r="O14" s="1" t="s">
        <v>59</v>
      </c>
      <c r="P14" s="1" t="s">
        <v>60</v>
      </c>
    </row>
    <row r="15" spans="1:16" ht="57.6" x14ac:dyDescent="0.3">
      <c r="A15" s="1" t="s">
        <v>634</v>
      </c>
      <c r="B15" s="1" t="s">
        <v>577</v>
      </c>
      <c r="C15" s="1" t="s">
        <v>578</v>
      </c>
      <c r="D15" s="1" t="s">
        <v>635</v>
      </c>
      <c r="E15" s="1" t="s">
        <v>636</v>
      </c>
      <c r="F15" s="1" t="s">
        <v>25</v>
      </c>
      <c r="G15" s="1" t="s">
        <v>173</v>
      </c>
      <c r="H15" s="1" t="s">
        <v>29</v>
      </c>
      <c r="I15" s="1" t="s">
        <v>637</v>
      </c>
      <c r="J15" s="1" t="s">
        <v>638</v>
      </c>
      <c r="K15" s="1" t="s">
        <v>639</v>
      </c>
      <c r="L15" s="1" t="s">
        <v>59</v>
      </c>
      <c r="M15" s="8" t="s">
        <v>23</v>
      </c>
      <c r="N15" s="8" t="s">
        <v>59</v>
      </c>
      <c r="O15" s="1" t="s">
        <v>59</v>
      </c>
      <c r="P15" s="1" t="s">
        <v>88</v>
      </c>
    </row>
    <row r="16" spans="1:16" ht="57.6" x14ac:dyDescent="0.3">
      <c r="A16" s="1" t="s">
        <v>640</v>
      </c>
      <c r="B16" s="1" t="s">
        <v>577</v>
      </c>
      <c r="C16" s="1" t="s">
        <v>578</v>
      </c>
      <c r="D16" s="1" t="s">
        <v>387</v>
      </c>
      <c r="E16" s="1" t="s">
        <v>641</v>
      </c>
      <c r="F16" s="1" t="s">
        <v>30</v>
      </c>
      <c r="G16" s="1" t="s">
        <v>173</v>
      </c>
      <c r="H16" s="1" t="s">
        <v>24</v>
      </c>
      <c r="I16" s="1" t="s">
        <v>642</v>
      </c>
      <c r="J16" s="1" t="s">
        <v>643</v>
      </c>
      <c r="K16" s="1" t="s">
        <v>644</v>
      </c>
      <c r="L16" s="1" t="s">
        <v>59</v>
      </c>
      <c r="M16" s="8" t="s">
        <v>23</v>
      </c>
      <c r="N16" s="8" t="s">
        <v>59</v>
      </c>
      <c r="O16" s="1" t="s">
        <v>59</v>
      </c>
      <c r="P16" s="1" t="s">
        <v>101</v>
      </c>
    </row>
  </sheetData>
  <mergeCells count="2">
    <mergeCell ref="A2:H2"/>
    <mergeCell ref="A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xr:uid="{00000000-0002-0000-0C00-000000000000}">
          <x14:formula1>
            <xm:f>Referensi!$A$1:$A$6</xm:f>
          </x14:formula1>
          <xm:sqref>M5:M10</xm:sqref>
        </x14:dataValidation>
        <x14:dataValidation type="list" allowBlank="1" xr:uid="{00000000-0002-0000-0C00-000001000000}">
          <x14:formula1>
            <xm:f>Referensi!$B$1:$B$3</xm:f>
          </x14:formula1>
          <xm:sqref>H5:H10</xm:sqref>
        </x14:dataValidation>
        <x14:dataValidation type="list" allowBlank="1" xr:uid="{00000000-0002-0000-0C00-000002000000}">
          <x14:formula1>
            <xm:f>Referensi!$C$1:$C$4</xm:f>
          </x14:formula1>
          <xm:sqref>F5:F10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4"/>
  <sheetViews>
    <sheetView showGridLines="0" workbookViewId="0"/>
  </sheetViews>
  <sheetFormatPr defaultRowHeight="14.4" x14ac:dyDescent="0.3"/>
  <cols>
    <col min="1" max="1" width="14" customWidth="1"/>
    <col min="2" max="2" width="16" customWidth="1"/>
    <col min="3" max="3" width="24" customWidth="1"/>
    <col min="4" max="4" width="22" customWidth="1"/>
    <col min="5" max="5" width="34" customWidth="1"/>
    <col min="6" max="6" width="14" customWidth="1"/>
    <col min="7" max="7" width="20" customWidth="1"/>
    <col min="8" max="8" width="10" customWidth="1"/>
    <col min="9" max="9" width="28" customWidth="1"/>
    <col min="10" max="10" width="46" customWidth="1"/>
    <col min="11" max="11" width="42" customWidth="1"/>
    <col min="12" max="12" width="20" customWidth="1"/>
    <col min="13" max="13" width="14" customWidth="1"/>
    <col min="14" max="15" width="26" customWidth="1"/>
    <col min="16" max="16" width="34" customWidth="1"/>
  </cols>
  <sheetData>
    <row r="1" spans="1:16" ht="24" customHeight="1" x14ac:dyDescent="0.3">
      <c r="A1" s="17" t="s">
        <v>2261</v>
      </c>
      <c r="B1" s="16"/>
      <c r="C1" s="16"/>
      <c r="D1" s="16"/>
      <c r="E1" s="16"/>
      <c r="F1" s="16"/>
      <c r="G1" s="16"/>
      <c r="H1" s="16"/>
    </row>
    <row r="2" spans="1:16" ht="36" customHeight="1" x14ac:dyDescent="0.3">
      <c r="A2" s="15" t="s">
        <v>34</v>
      </c>
      <c r="B2" s="16"/>
      <c r="C2" s="16"/>
      <c r="D2" s="16"/>
      <c r="E2" s="16"/>
      <c r="F2" s="16"/>
      <c r="G2" s="16"/>
      <c r="H2" s="16"/>
    </row>
    <row r="4" spans="1:16" x14ac:dyDescent="0.3">
      <c r="A4" s="5" t="s">
        <v>35</v>
      </c>
      <c r="B4" s="5" t="s">
        <v>36</v>
      </c>
      <c r="C4" s="5" t="s">
        <v>37</v>
      </c>
      <c r="D4" s="5" t="s">
        <v>38</v>
      </c>
      <c r="E4" s="5" t="s">
        <v>39</v>
      </c>
      <c r="F4" s="5" t="s">
        <v>40</v>
      </c>
      <c r="G4" s="5" t="s">
        <v>41</v>
      </c>
      <c r="H4" s="5" t="s">
        <v>42</v>
      </c>
      <c r="I4" s="5" t="s">
        <v>43</v>
      </c>
      <c r="J4" s="5" t="s">
        <v>44</v>
      </c>
      <c r="K4" s="5" t="s">
        <v>45</v>
      </c>
      <c r="L4" s="5" t="s">
        <v>46</v>
      </c>
      <c r="M4" s="5" t="s">
        <v>17</v>
      </c>
      <c r="N4" s="5" t="s">
        <v>47</v>
      </c>
      <c r="O4" s="5" t="s">
        <v>20</v>
      </c>
      <c r="P4" s="5" t="s">
        <v>48</v>
      </c>
    </row>
    <row r="5" spans="1:16" ht="43.2" x14ac:dyDescent="0.3">
      <c r="A5" s="1" t="s">
        <v>645</v>
      </c>
      <c r="B5" s="1" t="s">
        <v>646</v>
      </c>
      <c r="C5" s="1" t="s">
        <v>647</v>
      </c>
      <c r="D5" s="1" t="s">
        <v>648</v>
      </c>
      <c r="E5" s="1" t="s">
        <v>649</v>
      </c>
      <c r="F5" s="1" t="s">
        <v>25</v>
      </c>
      <c r="G5" s="1" t="s">
        <v>650</v>
      </c>
      <c r="H5" s="1" t="s">
        <v>24</v>
      </c>
      <c r="I5" s="1" t="s">
        <v>651</v>
      </c>
      <c r="J5" s="1" t="s">
        <v>652</v>
      </c>
      <c r="K5" s="1" t="s">
        <v>653</v>
      </c>
      <c r="L5" s="1" t="s">
        <v>59</v>
      </c>
      <c r="M5" s="8" t="s">
        <v>23</v>
      </c>
      <c r="N5" s="8" t="s">
        <v>59</v>
      </c>
      <c r="O5" s="1" t="s">
        <v>59</v>
      </c>
      <c r="P5" s="1" t="s">
        <v>60</v>
      </c>
    </row>
    <row r="6" spans="1:16" ht="72" x14ac:dyDescent="0.3">
      <c r="A6" s="1" t="s">
        <v>654</v>
      </c>
      <c r="B6" s="1" t="s">
        <v>646</v>
      </c>
      <c r="C6" s="1" t="s">
        <v>647</v>
      </c>
      <c r="D6" s="1" t="s">
        <v>655</v>
      </c>
      <c r="E6" s="1" t="s">
        <v>656</v>
      </c>
      <c r="F6" s="1" t="s">
        <v>25</v>
      </c>
      <c r="G6" s="1" t="s">
        <v>657</v>
      </c>
      <c r="H6" s="1" t="s">
        <v>24</v>
      </c>
      <c r="I6" s="1" t="s">
        <v>658</v>
      </c>
      <c r="J6" s="1" t="s">
        <v>659</v>
      </c>
      <c r="K6" s="1" t="s">
        <v>660</v>
      </c>
      <c r="L6" s="1" t="s">
        <v>59</v>
      </c>
      <c r="M6" s="8" t="s">
        <v>23</v>
      </c>
      <c r="N6" s="8" t="s">
        <v>59</v>
      </c>
      <c r="O6" s="1" t="s">
        <v>59</v>
      </c>
      <c r="P6" s="1" t="s">
        <v>60</v>
      </c>
    </row>
    <row r="7" spans="1:16" ht="72" x14ac:dyDescent="0.3">
      <c r="A7" s="1" t="s">
        <v>661</v>
      </c>
      <c r="B7" s="1" t="s">
        <v>646</v>
      </c>
      <c r="C7" s="1" t="s">
        <v>647</v>
      </c>
      <c r="D7" s="1" t="s">
        <v>662</v>
      </c>
      <c r="E7" s="1" t="s">
        <v>663</v>
      </c>
      <c r="F7" s="1" t="s">
        <v>31</v>
      </c>
      <c r="G7" s="1" t="s">
        <v>664</v>
      </c>
      <c r="H7" s="1" t="s">
        <v>27</v>
      </c>
      <c r="I7" s="1" t="s">
        <v>665</v>
      </c>
      <c r="J7" s="1" t="s">
        <v>666</v>
      </c>
      <c r="K7" s="1" t="s">
        <v>667</v>
      </c>
      <c r="L7" s="1" t="s">
        <v>59</v>
      </c>
      <c r="M7" s="8" t="s">
        <v>23</v>
      </c>
      <c r="N7" s="8" t="s">
        <v>59</v>
      </c>
      <c r="O7" s="1" t="s">
        <v>59</v>
      </c>
      <c r="P7" s="1" t="s">
        <v>81</v>
      </c>
    </row>
    <row r="8" spans="1:16" ht="72" x14ac:dyDescent="0.3">
      <c r="A8" s="1" t="s">
        <v>668</v>
      </c>
      <c r="B8" s="1" t="s">
        <v>646</v>
      </c>
      <c r="C8" s="1" t="s">
        <v>647</v>
      </c>
      <c r="D8" s="1" t="s">
        <v>655</v>
      </c>
      <c r="E8" s="1" t="s">
        <v>669</v>
      </c>
      <c r="F8" s="1" t="s">
        <v>25</v>
      </c>
      <c r="G8" s="1" t="s">
        <v>330</v>
      </c>
      <c r="H8" s="1" t="s">
        <v>24</v>
      </c>
      <c r="I8" s="1" t="s">
        <v>658</v>
      </c>
      <c r="J8" s="1" t="s">
        <v>670</v>
      </c>
      <c r="K8" s="1" t="s">
        <v>671</v>
      </c>
      <c r="L8" s="1" t="s">
        <v>59</v>
      </c>
      <c r="M8" s="8" t="s">
        <v>23</v>
      </c>
      <c r="N8" s="8" t="s">
        <v>59</v>
      </c>
      <c r="O8" s="1" t="s">
        <v>59</v>
      </c>
      <c r="P8" s="1" t="s">
        <v>60</v>
      </c>
    </row>
    <row r="9" spans="1:16" ht="57.6" x14ac:dyDescent="0.3">
      <c r="A9" s="1" t="s">
        <v>672</v>
      </c>
      <c r="B9" s="1" t="s">
        <v>646</v>
      </c>
      <c r="C9" s="1" t="s">
        <v>647</v>
      </c>
      <c r="D9" s="1" t="s">
        <v>673</v>
      </c>
      <c r="E9" s="1" t="s">
        <v>674</v>
      </c>
      <c r="F9" s="1" t="s">
        <v>28</v>
      </c>
      <c r="G9" s="1" t="s">
        <v>330</v>
      </c>
      <c r="H9" s="1" t="s">
        <v>24</v>
      </c>
      <c r="I9" s="1" t="s">
        <v>675</v>
      </c>
      <c r="J9" s="1" t="s">
        <v>676</v>
      </c>
      <c r="K9" s="1" t="s">
        <v>677</v>
      </c>
      <c r="L9" s="1" t="s">
        <v>59</v>
      </c>
      <c r="M9" s="8" t="s">
        <v>23</v>
      </c>
      <c r="N9" s="8" t="s">
        <v>59</v>
      </c>
      <c r="O9" s="1" t="s">
        <v>59</v>
      </c>
      <c r="P9" s="1" t="s">
        <v>88</v>
      </c>
    </row>
    <row r="10" spans="1:16" ht="57.6" x14ac:dyDescent="0.3">
      <c r="A10" s="1" t="s">
        <v>678</v>
      </c>
      <c r="B10" s="1" t="s">
        <v>646</v>
      </c>
      <c r="C10" s="1" t="s">
        <v>647</v>
      </c>
      <c r="D10" s="1" t="s">
        <v>679</v>
      </c>
      <c r="E10" s="1" t="s">
        <v>680</v>
      </c>
      <c r="F10" s="1" t="s">
        <v>25</v>
      </c>
      <c r="G10" s="1" t="s">
        <v>330</v>
      </c>
      <c r="H10" s="1" t="s">
        <v>27</v>
      </c>
      <c r="I10" s="1" t="s">
        <v>681</v>
      </c>
      <c r="J10" s="1" t="s">
        <v>682</v>
      </c>
      <c r="K10" s="1" t="s">
        <v>683</v>
      </c>
      <c r="L10" s="1" t="s">
        <v>59</v>
      </c>
      <c r="M10" s="8" t="s">
        <v>23</v>
      </c>
      <c r="N10" s="8" t="s">
        <v>59</v>
      </c>
      <c r="O10" s="1" t="s">
        <v>59</v>
      </c>
      <c r="P10" s="1" t="s">
        <v>263</v>
      </c>
    </row>
    <row r="11" spans="1:16" ht="57.6" x14ac:dyDescent="0.3">
      <c r="A11" s="1" t="s">
        <v>684</v>
      </c>
      <c r="B11" s="1" t="s">
        <v>646</v>
      </c>
      <c r="C11" s="1" t="s">
        <v>647</v>
      </c>
      <c r="D11" s="1" t="s">
        <v>433</v>
      </c>
      <c r="E11" s="1" t="s">
        <v>685</v>
      </c>
      <c r="F11" s="1" t="s">
        <v>25</v>
      </c>
      <c r="G11" s="1" t="s">
        <v>173</v>
      </c>
      <c r="H11" s="1" t="s">
        <v>27</v>
      </c>
      <c r="I11" s="1" t="s">
        <v>686</v>
      </c>
      <c r="J11" s="1" t="s">
        <v>687</v>
      </c>
      <c r="K11" s="1" t="s">
        <v>688</v>
      </c>
      <c r="L11" s="1" t="s">
        <v>59</v>
      </c>
      <c r="M11" s="8" t="s">
        <v>23</v>
      </c>
      <c r="N11" s="8" t="s">
        <v>59</v>
      </c>
      <c r="O11" s="1" t="s">
        <v>59</v>
      </c>
      <c r="P11" s="1" t="s">
        <v>60</v>
      </c>
    </row>
    <row r="12" spans="1:16" ht="86.4" x14ac:dyDescent="0.3">
      <c r="A12" s="1" t="s">
        <v>689</v>
      </c>
      <c r="B12" s="1" t="s">
        <v>646</v>
      </c>
      <c r="C12" s="1" t="s">
        <v>647</v>
      </c>
      <c r="D12" s="1" t="s">
        <v>690</v>
      </c>
      <c r="E12" s="1" t="s">
        <v>691</v>
      </c>
      <c r="F12" s="1" t="s">
        <v>31</v>
      </c>
      <c r="G12" s="1" t="s">
        <v>330</v>
      </c>
      <c r="H12" s="1" t="s">
        <v>27</v>
      </c>
      <c r="I12" s="1" t="s">
        <v>692</v>
      </c>
      <c r="J12" s="1" t="s">
        <v>693</v>
      </c>
      <c r="K12" s="1" t="s">
        <v>694</v>
      </c>
      <c r="L12" s="1" t="s">
        <v>59</v>
      </c>
      <c r="M12" s="8" t="s">
        <v>23</v>
      </c>
      <c r="N12" s="8" t="s">
        <v>59</v>
      </c>
      <c r="O12" s="1" t="s">
        <v>59</v>
      </c>
      <c r="P12" s="1" t="s">
        <v>263</v>
      </c>
    </row>
    <row r="13" spans="1:16" ht="43.2" x14ac:dyDescent="0.3">
      <c r="A13" s="1" t="s">
        <v>695</v>
      </c>
      <c r="B13" s="1" t="s">
        <v>646</v>
      </c>
      <c r="C13" s="1" t="s">
        <v>647</v>
      </c>
      <c r="D13" s="1" t="s">
        <v>696</v>
      </c>
      <c r="E13" s="1" t="s">
        <v>697</v>
      </c>
      <c r="F13" s="1" t="s">
        <v>30</v>
      </c>
      <c r="G13" s="1" t="s">
        <v>186</v>
      </c>
      <c r="H13" s="1" t="s">
        <v>27</v>
      </c>
      <c r="I13" s="1" t="s">
        <v>698</v>
      </c>
      <c r="J13" s="1" t="s">
        <v>699</v>
      </c>
      <c r="K13" s="1" t="s">
        <v>700</v>
      </c>
      <c r="L13" s="1" t="s">
        <v>59</v>
      </c>
      <c r="M13" s="8" t="s">
        <v>23</v>
      </c>
      <c r="N13" s="8" t="s">
        <v>59</v>
      </c>
      <c r="O13" s="1" t="s">
        <v>59</v>
      </c>
      <c r="P13" s="1" t="s">
        <v>101</v>
      </c>
    </row>
    <row r="14" spans="1:16" ht="43.2" x14ac:dyDescent="0.3">
      <c r="A14" s="1" t="s">
        <v>701</v>
      </c>
      <c r="B14" s="1" t="s">
        <v>646</v>
      </c>
      <c r="C14" s="1" t="s">
        <v>647</v>
      </c>
      <c r="D14" s="1" t="s">
        <v>387</v>
      </c>
      <c r="E14" s="1" t="s">
        <v>702</v>
      </c>
      <c r="F14" s="1" t="s">
        <v>30</v>
      </c>
      <c r="G14" s="1" t="s">
        <v>173</v>
      </c>
      <c r="H14" s="1" t="s">
        <v>24</v>
      </c>
      <c r="I14" s="1" t="s">
        <v>703</v>
      </c>
      <c r="J14" s="1" t="s">
        <v>704</v>
      </c>
      <c r="K14" s="1" t="s">
        <v>705</v>
      </c>
      <c r="L14" s="1" t="s">
        <v>59</v>
      </c>
      <c r="M14" s="8" t="s">
        <v>23</v>
      </c>
      <c r="N14" s="8" t="s">
        <v>59</v>
      </c>
      <c r="O14" s="1" t="s">
        <v>59</v>
      </c>
      <c r="P14" s="1" t="s">
        <v>101</v>
      </c>
    </row>
  </sheetData>
  <mergeCells count="2">
    <mergeCell ref="A2:H2"/>
    <mergeCell ref="A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xr:uid="{00000000-0002-0000-0D00-000000000000}">
          <x14:formula1>
            <xm:f>Referensi!$A$1:$A$6</xm:f>
          </x14:formula1>
          <xm:sqref>M5:M7</xm:sqref>
        </x14:dataValidation>
        <x14:dataValidation type="list" allowBlank="1" xr:uid="{00000000-0002-0000-0D00-000001000000}">
          <x14:formula1>
            <xm:f>Referensi!$B$1:$B$3</xm:f>
          </x14:formula1>
          <xm:sqref>H5:H7</xm:sqref>
        </x14:dataValidation>
        <x14:dataValidation type="list" allowBlank="1" xr:uid="{00000000-0002-0000-0D00-000002000000}">
          <x14:formula1>
            <xm:f>Referensi!$C$1:$C$4</xm:f>
          </x14:formula1>
          <xm:sqref>F5:F7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16"/>
  <sheetViews>
    <sheetView showGridLines="0" workbookViewId="0"/>
  </sheetViews>
  <sheetFormatPr defaultRowHeight="14.4" x14ac:dyDescent="0.3"/>
  <cols>
    <col min="1" max="1" width="14" customWidth="1"/>
    <col min="2" max="2" width="16" customWidth="1"/>
    <col min="3" max="3" width="24" customWidth="1"/>
    <col min="4" max="4" width="22" customWidth="1"/>
    <col min="5" max="5" width="34" customWidth="1"/>
    <col min="6" max="6" width="14" customWidth="1"/>
    <col min="7" max="7" width="20" customWidth="1"/>
    <col min="8" max="8" width="10" customWidth="1"/>
    <col min="9" max="9" width="28" customWidth="1"/>
    <col min="10" max="10" width="46" customWidth="1"/>
    <col min="11" max="11" width="42" customWidth="1"/>
    <col min="12" max="12" width="20" customWidth="1"/>
    <col min="13" max="13" width="14" customWidth="1"/>
    <col min="14" max="15" width="26" customWidth="1"/>
    <col min="16" max="16" width="34" customWidth="1"/>
  </cols>
  <sheetData>
    <row r="1" spans="1:16" ht="24" customHeight="1" x14ac:dyDescent="0.3">
      <c r="A1" s="17" t="s">
        <v>2262</v>
      </c>
      <c r="B1" s="16"/>
      <c r="C1" s="16"/>
      <c r="D1" s="16"/>
      <c r="E1" s="16"/>
      <c r="F1" s="16"/>
      <c r="G1" s="16"/>
      <c r="H1" s="16"/>
    </row>
    <row r="2" spans="1:16" ht="36" customHeight="1" x14ac:dyDescent="0.3">
      <c r="A2" s="15" t="s">
        <v>34</v>
      </c>
      <c r="B2" s="16"/>
      <c r="C2" s="16"/>
      <c r="D2" s="16"/>
      <c r="E2" s="16"/>
      <c r="F2" s="16"/>
      <c r="G2" s="16"/>
      <c r="H2" s="16"/>
    </row>
    <row r="4" spans="1:16" x14ac:dyDescent="0.3">
      <c r="A4" s="5" t="s">
        <v>35</v>
      </c>
      <c r="B4" s="5" t="s">
        <v>36</v>
      </c>
      <c r="C4" s="5" t="s">
        <v>37</v>
      </c>
      <c r="D4" s="5" t="s">
        <v>38</v>
      </c>
      <c r="E4" s="5" t="s">
        <v>39</v>
      </c>
      <c r="F4" s="5" t="s">
        <v>40</v>
      </c>
      <c r="G4" s="5" t="s">
        <v>41</v>
      </c>
      <c r="H4" s="5" t="s">
        <v>42</v>
      </c>
      <c r="I4" s="5" t="s">
        <v>43</v>
      </c>
      <c r="J4" s="5" t="s">
        <v>44</v>
      </c>
      <c r="K4" s="5" t="s">
        <v>45</v>
      </c>
      <c r="L4" s="5" t="s">
        <v>46</v>
      </c>
      <c r="M4" s="5" t="s">
        <v>17</v>
      </c>
      <c r="N4" s="5" t="s">
        <v>47</v>
      </c>
      <c r="O4" s="5" t="s">
        <v>20</v>
      </c>
      <c r="P4" s="5" t="s">
        <v>48</v>
      </c>
    </row>
    <row r="5" spans="1:16" ht="72" x14ac:dyDescent="0.3">
      <c r="A5" s="1" t="s">
        <v>706</v>
      </c>
      <c r="B5" s="1" t="s">
        <v>646</v>
      </c>
      <c r="C5" s="1" t="s">
        <v>707</v>
      </c>
      <c r="D5" s="1" t="s">
        <v>708</v>
      </c>
      <c r="E5" s="1" t="s">
        <v>709</v>
      </c>
      <c r="F5" s="1" t="s">
        <v>25</v>
      </c>
      <c r="G5" s="1" t="s">
        <v>173</v>
      </c>
      <c r="H5" s="1" t="s">
        <v>24</v>
      </c>
      <c r="I5" s="1" t="s">
        <v>710</v>
      </c>
      <c r="J5" s="1" t="s">
        <v>711</v>
      </c>
      <c r="K5" s="1" t="s">
        <v>712</v>
      </c>
      <c r="L5" s="1" t="s">
        <v>59</v>
      </c>
      <c r="M5" s="8" t="s">
        <v>23</v>
      </c>
      <c r="N5" s="8" t="s">
        <v>59</v>
      </c>
      <c r="O5" s="1" t="s">
        <v>59</v>
      </c>
      <c r="P5" s="1" t="s">
        <v>60</v>
      </c>
    </row>
    <row r="6" spans="1:16" ht="86.4" x14ac:dyDescent="0.3">
      <c r="A6" s="1" t="s">
        <v>713</v>
      </c>
      <c r="B6" s="1" t="s">
        <v>646</v>
      </c>
      <c r="C6" s="1" t="s">
        <v>707</v>
      </c>
      <c r="D6" s="1" t="s">
        <v>714</v>
      </c>
      <c r="E6" s="1" t="s">
        <v>715</v>
      </c>
      <c r="F6" s="1" t="s">
        <v>25</v>
      </c>
      <c r="G6" s="1" t="s">
        <v>716</v>
      </c>
      <c r="H6" s="1" t="s">
        <v>24</v>
      </c>
      <c r="I6" s="1" t="s">
        <v>717</v>
      </c>
      <c r="J6" s="1" t="s">
        <v>718</v>
      </c>
      <c r="K6" s="1" t="s">
        <v>719</v>
      </c>
      <c r="L6" s="1" t="s">
        <v>59</v>
      </c>
      <c r="M6" s="8" t="s">
        <v>23</v>
      </c>
      <c r="N6" s="8" t="s">
        <v>59</v>
      </c>
      <c r="O6" s="1" t="s">
        <v>59</v>
      </c>
      <c r="P6" s="1" t="s">
        <v>60</v>
      </c>
    </row>
    <row r="7" spans="1:16" ht="57.6" x14ac:dyDescent="0.3">
      <c r="A7" s="1" t="s">
        <v>720</v>
      </c>
      <c r="B7" s="1" t="s">
        <v>646</v>
      </c>
      <c r="C7" s="1" t="s">
        <v>707</v>
      </c>
      <c r="D7" s="1" t="s">
        <v>721</v>
      </c>
      <c r="E7" s="1" t="s">
        <v>722</v>
      </c>
      <c r="F7" s="1" t="s">
        <v>31</v>
      </c>
      <c r="G7" s="1" t="s">
        <v>180</v>
      </c>
      <c r="H7" s="1" t="s">
        <v>27</v>
      </c>
      <c r="I7" s="1" t="s">
        <v>723</v>
      </c>
      <c r="J7" s="1" t="s">
        <v>724</v>
      </c>
      <c r="K7" s="1" t="s">
        <v>725</v>
      </c>
      <c r="L7" s="1" t="s">
        <v>59</v>
      </c>
      <c r="M7" s="8" t="s">
        <v>23</v>
      </c>
      <c r="N7" s="8" t="s">
        <v>59</v>
      </c>
      <c r="O7" s="1" t="s">
        <v>59</v>
      </c>
      <c r="P7" s="1" t="s">
        <v>60</v>
      </c>
    </row>
    <row r="8" spans="1:16" ht="57.6" x14ac:dyDescent="0.3">
      <c r="A8" s="1" t="s">
        <v>726</v>
      </c>
      <c r="B8" s="1" t="s">
        <v>646</v>
      </c>
      <c r="C8" s="1" t="s">
        <v>707</v>
      </c>
      <c r="D8" s="1" t="s">
        <v>727</v>
      </c>
      <c r="E8" s="1" t="s">
        <v>728</v>
      </c>
      <c r="F8" s="1" t="s">
        <v>31</v>
      </c>
      <c r="G8" s="1" t="s">
        <v>180</v>
      </c>
      <c r="H8" s="1" t="s">
        <v>27</v>
      </c>
      <c r="I8" s="1" t="s">
        <v>729</v>
      </c>
      <c r="J8" s="1" t="s">
        <v>730</v>
      </c>
      <c r="K8" s="1" t="s">
        <v>731</v>
      </c>
      <c r="L8" s="1" t="s">
        <v>59</v>
      </c>
      <c r="M8" s="8" t="s">
        <v>23</v>
      </c>
      <c r="N8" s="8" t="s">
        <v>59</v>
      </c>
      <c r="O8" s="1" t="s">
        <v>59</v>
      </c>
      <c r="P8" s="1" t="s">
        <v>60</v>
      </c>
    </row>
    <row r="9" spans="1:16" ht="57.6" x14ac:dyDescent="0.3">
      <c r="A9" s="1" t="s">
        <v>732</v>
      </c>
      <c r="B9" s="1" t="s">
        <v>646</v>
      </c>
      <c r="C9" s="1" t="s">
        <v>707</v>
      </c>
      <c r="D9" s="1" t="s">
        <v>444</v>
      </c>
      <c r="E9" s="1" t="s">
        <v>733</v>
      </c>
      <c r="F9" s="1" t="s">
        <v>31</v>
      </c>
      <c r="G9" s="1" t="s">
        <v>193</v>
      </c>
      <c r="H9" s="1" t="s">
        <v>27</v>
      </c>
      <c r="I9" s="1" t="s">
        <v>734</v>
      </c>
      <c r="J9" s="1" t="s">
        <v>735</v>
      </c>
      <c r="K9" s="1" t="s">
        <v>736</v>
      </c>
      <c r="L9" s="1" t="s">
        <v>59</v>
      </c>
      <c r="M9" s="8" t="s">
        <v>23</v>
      </c>
      <c r="N9" s="8" t="s">
        <v>59</v>
      </c>
      <c r="O9" s="1" t="s">
        <v>59</v>
      </c>
      <c r="P9" s="1" t="s">
        <v>60</v>
      </c>
    </row>
    <row r="10" spans="1:16" ht="100.8" x14ac:dyDescent="0.3">
      <c r="A10" s="1" t="s">
        <v>737</v>
      </c>
      <c r="B10" s="1" t="s">
        <v>646</v>
      </c>
      <c r="C10" s="1" t="s">
        <v>707</v>
      </c>
      <c r="D10" s="1" t="s">
        <v>738</v>
      </c>
      <c r="E10" s="1" t="s">
        <v>739</v>
      </c>
      <c r="F10" s="1" t="s">
        <v>31</v>
      </c>
      <c r="G10" s="1" t="s">
        <v>657</v>
      </c>
      <c r="H10" s="1" t="s">
        <v>24</v>
      </c>
      <c r="I10" s="1" t="s">
        <v>740</v>
      </c>
      <c r="J10" s="1" t="s">
        <v>741</v>
      </c>
      <c r="K10" s="1" t="s">
        <v>742</v>
      </c>
      <c r="L10" s="1" t="s">
        <v>59</v>
      </c>
      <c r="M10" s="8" t="s">
        <v>23</v>
      </c>
      <c r="N10" s="8" t="s">
        <v>59</v>
      </c>
      <c r="O10" s="1" t="s">
        <v>59</v>
      </c>
      <c r="P10" s="1" t="s">
        <v>60</v>
      </c>
    </row>
    <row r="11" spans="1:16" ht="57.6" x14ac:dyDescent="0.3">
      <c r="A11" s="1" t="s">
        <v>743</v>
      </c>
      <c r="B11" s="1" t="s">
        <v>646</v>
      </c>
      <c r="C11" s="1" t="s">
        <v>707</v>
      </c>
      <c r="D11" s="1" t="s">
        <v>744</v>
      </c>
      <c r="E11" s="1" t="s">
        <v>745</v>
      </c>
      <c r="F11" s="1" t="s">
        <v>25</v>
      </c>
      <c r="G11" s="1" t="s">
        <v>330</v>
      </c>
      <c r="H11" s="1" t="s">
        <v>27</v>
      </c>
      <c r="I11" s="1" t="s">
        <v>746</v>
      </c>
      <c r="J11" s="1" t="s">
        <v>747</v>
      </c>
      <c r="K11" s="1" t="s">
        <v>748</v>
      </c>
      <c r="L11" s="1" t="s">
        <v>59</v>
      </c>
      <c r="M11" s="8" t="s">
        <v>23</v>
      </c>
      <c r="N11" s="8" t="s">
        <v>59</v>
      </c>
      <c r="O11" s="1" t="s">
        <v>59</v>
      </c>
      <c r="P11" s="1" t="s">
        <v>263</v>
      </c>
    </row>
    <row r="12" spans="1:16" ht="72" x14ac:dyDescent="0.3">
      <c r="A12" s="1" t="s">
        <v>749</v>
      </c>
      <c r="B12" s="1" t="s">
        <v>646</v>
      </c>
      <c r="C12" s="1" t="s">
        <v>707</v>
      </c>
      <c r="D12" s="1" t="s">
        <v>750</v>
      </c>
      <c r="E12" s="1" t="s">
        <v>751</v>
      </c>
      <c r="F12" s="1" t="s">
        <v>25</v>
      </c>
      <c r="G12" s="1" t="s">
        <v>173</v>
      </c>
      <c r="H12" s="1" t="s">
        <v>24</v>
      </c>
      <c r="I12" s="1" t="s">
        <v>752</v>
      </c>
      <c r="J12" s="1" t="s">
        <v>753</v>
      </c>
      <c r="K12" s="1" t="s">
        <v>754</v>
      </c>
      <c r="L12" s="1" t="s">
        <v>59</v>
      </c>
      <c r="M12" s="8" t="s">
        <v>23</v>
      </c>
      <c r="N12" s="8" t="s">
        <v>59</v>
      </c>
      <c r="O12" s="1" t="s">
        <v>59</v>
      </c>
      <c r="P12" s="1" t="s">
        <v>81</v>
      </c>
    </row>
    <row r="13" spans="1:16" ht="57.6" x14ac:dyDescent="0.3">
      <c r="A13" s="1" t="s">
        <v>755</v>
      </c>
      <c r="B13" s="1" t="s">
        <v>646</v>
      </c>
      <c r="C13" s="1" t="s">
        <v>707</v>
      </c>
      <c r="D13" s="1" t="s">
        <v>756</v>
      </c>
      <c r="E13" s="1" t="s">
        <v>757</v>
      </c>
      <c r="F13" s="1" t="s">
        <v>28</v>
      </c>
      <c r="G13" s="1" t="s">
        <v>330</v>
      </c>
      <c r="H13" s="1" t="s">
        <v>24</v>
      </c>
      <c r="I13" s="1" t="s">
        <v>758</v>
      </c>
      <c r="J13" s="1" t="s">
        <v>759</v>
      </c>
      <c r="K13" s="1" t="s">
        <v>760</v>
      </c>
      <c r="L13" s="1" t="s">
        <v>59</v>
      </c>
      <c r="M13" s="8" t="s">
        <v>23</v>
      </c>
      <c r="N13" s="8" t="s">
        <v>59</v>
      </c>
      <c r="O13" s="1" t="s">
        <v>59</v>
      </c>
      <c r="P13" s="1" t="s">
        <v>88</v>
      </c>
    </row>
    <row r="14" spans="1:16" ht="57.6" x14ac:dyDescent="0.3">
      <c r="A14" s="1" t="s">
        <v>761</v>
      </c>
      <c r="B14" s="1" t="s">
        <v>646</v>
      </c>
      <c r="C14" s="1" t="s">
        <v>707</v>
      </c>
      <c r="D14" s="1" t="s">
        <v>762</v>
      </c>
      <c r="E14" s="1" t="s">
        <v>763</v>
      </c>
      <c r="F14" s="1" t="s">
        <v>25</v>
      </c>
      <c r="G14" s="1" t="s">
        <v>180</v>
      </c>
      <c r="H14" s="1" t="s">
        <v>27</v>
      </c>
      <c r="I14" s="1" t="s">
        <v>764</v>
      </c>
      <c r="J14" s="1" t="s">
        <v>765</v>
      </c>
      <c r="K14" s="1" t="s">
        <v>766</v>
      </c>
      <c r="L14" s="1" t="s">
        <v>59</v>
      </c>
      <c r="M14" s="8" t="s">
        <v>23</v>
      </c>
      <c r="N14" s="8" t="s">
        <v>59</v>
      </c>
      <c r="O14" s="1" t="s">
        <v>59</v>
      </c>
      <c r="P14" s="1" t="s">
        <v>263</v>
      </c>
    </row>
    <row r="15" spans="1:16" ht="57.6" x14ac:dyDescent="0.3">
      <c r="A15" s="1" t="s">
        <v>767</v>
      </c>
      <c r="B15" s="1" t="s">
        <v>646</v>
      </c>
      <c r="C15" s="1" t="s">
        <v>707</v>
      </c>
      <c r="D15" s="1" t="s">
        <v>768</v>
      </c>
      <c r="E15" s="1" t="s">
        <v>769</v>
      </c>
      <c r="F15" s="1" t="s">
        <v>25</v>
      </c>
      <c r="G15" s="1" t="s">
        <v>180</v>
      </c>
      <c r="H15" s="1" t="s">
        <v>27</v>
      </c>
      <c r="I15" s="1" t="s">
        <v>770</v>
      </c>
      <c r="J15" s="1" t="s">
        <v>771</v>
      </c>
      <c r="K15" s="1" t="s">
        <v>772</v>
      </c>
      <c r="L15" s="1" t="s">
        <v>59</v>
      </c>
      <c r="M15" s="8" t="s">
        <v>23</v>
      </c>
      <c r="N15" s="8" t="s">
        <v>59</v>
      </c>
      <c r="O15" s="1" t="s">
        <v>59</v>
      </c>
      <c r="P15" s="1" t="s">
        <v>60</v>
      </c>
    </row>
    <row r="16" spans="1:16" ht="57.6" x14ac:dyDescent="0.3">
      <c r="A16" s="1" t="s">
        <v>773</v>
      </c>
      <c r="B16" s="1" t="s">
        <v>646</v>
      </c>
      <c r="C16" s="1" t="s">
        <v>707</v>
      </c>
      <c r="D16" s="1" t="s">
        <v>696</v>
      </c>
      <c r="E16" s="1" t="s">
        <v>774</v>
      </c>
      <c r="F16" s="1" t="s">
        <v>30</v>
      </c>
      <c r="G16" s="1" t="s">
        <v>186</v>
      </c>
      <c r="H16" s="1" t="s">
        <v>27</v>
      </c>
      <c r="I16" s="1" t="s">
        <v>775</v>
      </c>
      <c r="J16" s="1" t="s">
        <v>776</v>
      </c>
      <c r="K16" s="1" t="s">
        <v>777</v>
      </c>
      <c r="L16" s="1" t="s">
        <v>59</v>
      </c>
      <c r="M16" s="8" t="s">
        <v>23</v>
      </c>
      <c r="N16" s="8" t="s">
        <v>59</v>
      </c>
      <c r="O16" s="1" t="s">
        <v>59</v>
      </c>
      <c r="P16" s="1" t="s">
        <v>101</v>
      </c>
    </row>
  </sheetData>
  <mergeCells count="2">
    <mergeCell ref="A2:H2"/>
    <mergeCell ref="A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xr:uid="{00000000-0002-0000-0E00-000000000000}">
          <x14:formula1>
            <xm:f>Referensi!$A$1:$A$6</xm:f>
          </x14:formula1>
          <xm:sqref>M5:M10</xm:sqref>
        </x14:dataValidation>
        <x14:dataValidation type="list" allowBlank="1" xr:uid="{00000000-0002-0000-0E00-000001000000}">
          <x14:formula1>
            <xm:f>Referensi!$B$1:$B$3</xm:f>
          </x14:formula1>
          <xm:sqref>H5:H10</xm:sqref>
        </x14:dataValidation>
        <x14:dataValidation type="list" allowBlank="1" xr:uid="{00000000-0002-0000-0E00-000002000000}">
          <x14:formula1>
            <xm:f>Referensi!$C$1:$C$4</xm:f>
          </x14:formula1>
          <xm:sqref>F5:F10</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16"/>
  <sheetViews>
    <sheetView showGridLines="0" workbookViewId="0"/>
  </sheetViews>
  <sheetFormatPr defaultRowHeight="14.4" x14ac:dyDescent="0.3"/>
  <cols>
    <col min="1" max="1" width="14" customWidth="1"/>
    <col min="2" max="2" width="16" customWidth="1"/>
    <col min="3" max="3" width="24" customWidth="1"/>
    <col min="4" max="4" width="22" customWidth="1"/>
    <col min="5" max="5" width="34" customWidth="1"/>
    <col min="6" max="6" width="14" customWidth="1"/>
    <col min="7" max="7" width="20" customWidth="1"/>
    <col min="8" max="8" width="10" customWidth="1"/>
    <col min="9" max="9" width="28" customWidth="1"/>
    <col min="10" max="10" width="46" customWidth="1"/>
    <col min="11" max="11" width="42" customWidth="1"/>
    <col min="12" max="12" width="20" customWidth="1"/>
    <col min="13" max="13" width="14" customWidth="1"/>
    <col min="14" max="15" width="26" customWidth="1"/>
    <col min="16" max="16" width="34" customWidth="1"/>
  </cols>
  <sheetData>
    <row r="1" spans="1:16" ht="24" customHeight="1" x14ac:dyDescent="0.3">
      <c r="A1" s="17" t="s">
        <v>2263</v>
      </c>
      <c r="B1" s="16"/>
      <c r="C1" s="16"/>
      <c r="D1" s="16"/>
      <c r="E1" s="16"/>
      <c r="F1" s="16"/>
      <c r="G1" s="16"/>
      <c r="H1" s="16"/>
    </row>
    <row r="2" spans="1:16" ht="36" customHeight="1" x14ac:dyDescent="0.3">
      <c r="A2" s="15" t="s">
        <v>34</v>
      </c>
      <c r="B2" s="16"/>
      <c r="C2" s="16"/>
      <c r="D2" s="16"/>
      <c r="E2" s="16"/>
      <c r="F2" s="16"/>
      <c r="G2" s="16"/>
      <c r="H2" s="16"/>
    </row>
    <row r="4" spans="1:16" x14ac:dyDescent="0.3">
      <c r="A4" s="5" t="s">
        <v>35</v>
      </c>
      <c r="B4" s="5" t="s">
        <v>36</v>
      </c>
      <c r="C4" s="5" t="s">
        <v>37</v>
      </c>
      <c r="D4" s="5" t="s">
        <v>38</v>
      </c>
      <c r="E4" s="5" t="s">
        <v>39</v>
      </c>
      <c r="F4" s="5" t="s">
        <v>40</v>
      </c>
      <c r="G4" s="5" t="s">
        <v>41</v>
      </c>
      <c r="H4" s="5" t="s">
        <v>42</v>
      </c>
      <c r="I4" s="5" t="s">
        <v>43</v>
      </c>
      <c r="J4" s="5" t="s">
        <v>44</v>
      </c>
      <c r="K4" s="5" t="s">
        <v>45</v>
      </c>
      <c r="L4" s="5" t="s">
        <v>46</v>
      </c>
      <c r="M4" s="5" t="s">
        <v>17</v>
      </c>
      <c r="N4" s="5" t="s">
        <v>47</v>
      </c>
      <c r="O4" s="5" t="s">
        <v>20</v>
      </c>
      <c r="P4" s="5" t="s">
        <v>48</v>
      </c>
    </row>
    <row r="5" spans="1:16" ht="86.4" x14ac:dyDescent="0.3">
      <c r="A5" s="1" t="s">
        <v>778</v>
      </c>
      <c r="B5" s="1" t="s">
        <v>646</v>
      </c>
      <c r="C5" s="1" t="s">
        <v>779</v>
      </c>
      <c r="D5" s="1" t="s">
        <v>780</v>
      </c>
      <c r="E5" s="1" t="s">
        <v>781</v>
      </c>
      <c r="F5" s="1" t="s">
        <v>25</v>
      </c>
      <c r="G5" s="1" t="s">
        <v>782</v>
      </c>
      <c r="H5" s="1" t="s">
        <v>24</v>
      </c>
      <c r="I5" s="1" t="s">
        <v>783</v>
      </c>
      <c r="J5" s="1" t="s">
        <v>784</v>
      </c>
      <c r="K5" s="1" t="s">
        <v>785</v>
      </c>
      <c r="L5" s="1" t="s">
        <v>59</v>
      </c>
      <c r="M5" s="8" t="s">
        <v>23</v>
      </c>
      <c r="N5" s="8" t="s">
        <v>59</v>
      </c>
      <c r="O5" s="1" t="s">
        <v>59</v>
      </c>
      <c r="P5" s="1" t="s">
        <v>60</v>
      </c>
    </row>
    <row r="6" spans="1:16" ht="57.6" x14ac:dyDescent="0.3">
      <c r="A6" s="1" t="s">
        <v>786</v>
      </c>
      <c r="B6" s="1" t="s">
        <v>646</v>
      </c>
      <c r="C6" s="1" t="s">
        <v>779</v>
      </c>
      <c r="D6" s="1" t="s">
        <v>787</v>
      </c>
      <c r="E6" s="1" t="s">
        <v>788</v>
      </c>
      <c r="F6" s="1" t="s">
        <v>28</v>
      </c>
      <c r="G6" s="1" t="s">
        <v>782</v>
      </c>
      <c r="H6" s="1" t="s">
        <v>27</v>
      </c>
      <c r="I6" s="1" t="s">
        <v>658</v>
      </c>
      <c r="J6" s="1" t="s">
        <v>789</v>
      </c>
      <c r="K6" s="1" t="s">
        <v>790</v>
      </c>
      <c r="L6" s="1" t="s">
        <v>59</v>
      </c>
      <c r="M6" s="8" t="s">
        <v>23</v>
      </c>
      <c r="N6" s="8" t="s">
        <v>59</v>
      </c>
      <c r="O6" s="1" t="s">
        <v>59</v>
      </c>
      <c r="P6" s="1" t="s">
        <v>60</v>
      </c>
    </row>
    <row r="7" spans="1:16" ht="57.6" x14ac:dyDescent="0.3">
      <c r="A7" s="1" t="s">
        <v>791</v>
      </c>
      <c r="B7" s="1" t="s">
        <v>646</v>
      </c>
      <c r="C7" s="1" t="s">
        <v>779</v>
      </c>
      <c r="D7" s="1" t="s">
        <v>792</v>
      </c>
      <c r="E7" s="1" t="s">
        <v>793</v>
      </c>
      <c r="F7" s="1" t="s">
        <v>31</v>
      </c>
      <c r="G7" s="1" t="s">
        <v>794</v>
      </c>
      <c r="H7" s="1" t="s">
        <v>27</v>
      </c>
      <c r="I7" s="1" t="s">
        <v>795</v>
      </c>
      <c r="J7" s="1" t="s">
        <v>796</v>
      </c>
      <c r="K7" s="1" t="s">
        <v>797</v>
      </c>
      <c r="L7" s="1" t="s">
        <v>59</v>
      </c>
      <c r="M7" s="8" t="s">
        <v>23</v>
      </c>
      <c r="N7" s="8" t="s">
        <v>59</v>
      </c>
      <c r="O7" s="1" t="s">
        <v>59</v>
      </c>
      <c r="P7" s="1" t="s">
        <v>81</v>
      </c>
    </row>
    <row r="8" spans="1:16" ht="57.6" x14ac:dyDescent="0.3">
      <c r="A8" s="1" t="s">
        <v>798</v>
      </c>
      <c r="B8" s="1" t="s">
        <v>646</v>
      </c>
      <c r="C8" s="1" t="s">
        <v>779</v>
      </c>
      <c r="D8" s="1" t="s">
        <v>799</v>
      </c>
      <c r="E8" s="1" t="s">
        <v>800</v>
      </c>
      <c r="F8" s="1" t="s">
        <v>25</v>
      </c>
      <c r="G8" s="1" t="s">
        <v>180</v>
      </c>
      <c r="H8" s="1" t="s">
        <v>27</v>
      </c>
      <c r="I8" s="1" t="s">
        <v>801</v>
      </c>
      <c r="J8" s="1" t="s">
        <v>802</v>
      </c>
      <c r="K8" s="1" t="s">
        <v>803</v>
      </c>
      <c r="L8" s="1" t="s">
        <v>59</v>
      </c>
      <c r="M8" s="8" t="s">
        <v>23</v>
      </c>
      <c r="N8" s="8" t="s">
        <v>59</v>
      </c>
      <c r="O8" s="1" t="s">
        <v>59</v>
      </c>
      <c r="P8" s="1" t="s">
        <v>263</v>
      </c>
    </row>
    <row r="9" spans="1:16" ht="43.2" x14ac:dyDescent="0.3">
      <c r="A9" s="1" t="s">
        <v>804</v>
      </c>
      <c r="B9" s="1" t="s">
        <v>646</v>
      </c>
      <c r="C9" s="1" t="s">
        <v>779</v>
      </c>
      <c r="D9" s="1" t="s">
        <v>805</v>
      </c>
      <c r="E9" s="1" t="s">
        <v>806</v>
      </c>
      <c r="F9" s="1" t="s">
        <v>31</v>
      </c>
      <c r="G9" s="1" t="s">
        <v>180</v>
      </c>
      <c r="H9" s="1" t="s">
        <v>27</v>
      </c>
      <c r="I9" s="1" t="s">
        <v>807</v>
      </c>
      <c r="J9" s="1" t="s">
        <v>808</v>
      </c>
      <c r="K9" s="1" t="s">
        <v>809</v>
      </c>
      <c r="L9" s="1" t="s">
        <v>59</v>
      </c>
      <c r="M9" s="8" t="s">
        <v>23</v>
      </c>
      <c r="N9" s="8" t="s">
        <v>59</v>
      </c>
      <c r="O9" s="1" t="s">
        <v>59</v>
      </c>
      <c r="P9" s="1" t="s">
        <v>60</v>
      </c>
    </row>
    <row r="10" spans="1:16" ht="72" x14ac:dyDescent="0.3">
      <c r="A10" s="1" t="s">
        <v>810</v>
      </c>
      <c r="B10" s="1" t="s">
        <v>646</v>
      </c>
      <c r="C10" s="1" t="s">
        <v>779</v>
      </c>
      <c r="D10" s="1" t="s">
        <v>811</v>
      </c>
      <c r="E10" s="1" t="s">
        <v>812</v>
      </c>
      <c r="F10" s="1" t="s">
        <v>31</v>
      </c>
      <c r="G10" s="1" t="s">
        <v>180</v>
      </c>
      <c r="H10" s="1" t="s">
        <v>24</v>
      </c>
      <c r="I10" s="1" t="s">
        <v>813</v>
      </c>
      <c r="J10" s="1" t="s">
        <v>814</v>
      </c>
      <c r="K10" s="1" t="s">
        <v>815</v>
      </c>
      <c r="L10" s="1" t="s">
        <v>59</v>
      </c>
      <c r="M10" s="8" t="s">
        <v>23</v>
      </c>
      <c r="N10" s="8" t="s">
        <v>59</v>
      </c>
      <c r="O10" s="1" t="s">
        <v>59</v>
      </c>
      <c r="P10" s="1" t="s">
        <v>60</v>
      </c>
    </row>
    <row r="11" spans="1:16" ht="57.6" x14ac:dyDescent="0.3">
      <c r="A11" s="1" t="s">
        <v>816</v>
      </c>
      <c r="B11" s="1" t="s">
        <v>646</v>
      </c>
      <c r="C11" s="1" t="s">
        <v>779</v>
      </c>
      <c r="D11" s="1" t="s">
        <v>817</v>
      </c>
      <c r="E11" s="1" t="s">
        <v>818</v>
      </c>
      <c r="F11" s="1" t="s">
        <v>31</v>
      </c>
      <c r="G11" s="1" t="s">
        <v>180</v>
      </c>
      <c r="H11" s="1" t="s">
        <v>24</v>
      </c>
      <c r="I11" s="1" t="s">
        <v>819</v>
      </c>
      <c r="J11" s="1" t="s">
        <v>820</v>
      </c>
      <c r="K11" s="1" t="s">
        <v>821</v>
      </c>
      <c r="L11" s="1" t="s">
        <v>59</v>
      </c>
      <c r="M11" s="8" t="s">
        <v>23</v>
      </c>
      <c r="N11" s="8" t="s">
        <v>59</v>
      </c>
      <c r="O11" s="1" t="s">
        <v>59</v>
      </c>
      <c r="P11" s="1" t="s">
        <v>60</v>
      </c>
    </row>
    <row r="12" spans="1:16" ht="72" x14ac:dyDescent="0.3">
      <c r="A12" s="1" t="s">
        <v>822</v>
      </c>
      <c r="B12" s="1" t="s">
        <v>646</v>
      </c>
      <c r="C12" s="1" t="s">
        <v>779</v>
      </c>
      <c r="D12" s="1" t="s">
        <v>823</v>
      </c>
      <c r="E12" s="1" t="s">
        <v>824</v>
      </c>
      <c r="F12" s="1" t="s">
        <v>31</v>
      </c>
      <c r="G12" s="1" t="s">
        <v>330</v>
      </c>
      <c r="H12" s="1" t="s">
        <v>24</v>
      </c>
      <c r="I12" s="1" t="s">
        <v>825</v>
      </c>
      <c r="J12" s="1" t="s">
        <v>826</v>
      </c>
      <c r="K12" s="1" t="s">
        <v>827</v>
      </c>
      <c r="L12" s="1" t="s">
        <v>59</v>
      </c>
      <c r="M12" s="8" t="s">
        <v>23</v>
      </c>
      <c r="N12" s="8" t="s">
        <v>59</v>
      </c>
      <c r="O12" s="1" t="s">
        <v>59</v>
      </c>
      <c r="P12" s="1" t="s">
        <v>263</v>
      </c>
    </row>
    <row r="13" spans="1:16" ht="57.6" x14ac:dyDescent="0.3">
      <c r="A13" s="1" t="s">
        <v>828</v>
      </c>
      <c r="B13" s="1" t="s">
        <v>646</v>
      </c>
      <c r="C13" s="1" t="s">
        <v>779</v>
      </c>
      <c r="D13" s="1" t="s">
        <v>829</v>
      </c>
      <c r="E13" s="1" t="s">
        <v>830</v>
      </c>
      <c r="F13" s="1" t="s">
        <v>31</v>
      </c>
      <c r="G13" s="1" t="s">
        <v>180</v>
      </c>
      <c r="H13" s="1" t="s">
        <v>24</v>
      </c>
      <c r="I13" s="1" t="s">
        <v>831</v>
      </c>
      <c r="J13" s="1" t="s">
        <v>832</v>
      </c>
      <c r="K13" s="1" t="s">
        <v>833</v>
      </c>
      <c r="L13" s="1" t="s">
        <v>59</v>
      </c>
      <c r="M13" s="8" t="s">
        <v>23</v>
      </c>
      <c r="N13" s="8" t="s">
        <v>59</v>
      </c>
      <c r="O13" s="1" t="s">
        <v>59</v>
      </c>
      <c r="P13" s="1" t="s">
        <v>263</v>
      </c>
    </row>
    <row r="14" spans="1:16" ht="57.6" x14ac:dyDescent="0.3">
      <c r="A14" s="1" t="s">
        <v>834</v>
      </c>
      <c r="B14" s="1" t="s">
        <v>646</v>
      </c>
      <c r="C14" s="1" t="s">
        <v>779</v>
      </c>
      <c r="D14" s="1" t="s">
        <v>835</v>
      </c>
      <c r="E14" s="1" t="s">
        <v>836</v>
      </c>
      <c r="F14" s="1" t="s">
        <v>28</v>
      </c>
      <c r="G14" s="1" t="s">
        <v>180</v>
      </c>
      <c r="H14" s="1" t="s">
        <v>24</v>
      </c>
      <c r="I14" s="1" t="s">
        <v>837</v>
      </c>
      <c r="J14" s="1" t="s">
        <v>838</v>
      </c>
      <c r="K14" s="1" t="s">
        <v>839</v>
      </c>
      <c r="L14" s="1" t="s">
        <v>59</v>
      </c>
      <c r="M14" s="8" t="s">
        <v>23</v>
      </c>
      <c r="N14" s="8" t="s">
        <v>59</v>
      </c>
      <c r="O14" s="1" t="s">
        <v>59</v>
      </c>
      <c r="P14" s="1" t="s">
        <v>88</v>
      </c>
    </row>
    <row r="15" spans="1:16" ht="57.6" x14ac:dyDescent="0.3">
      <c r="A15" s="1" t="s">
        <v>840</v>
      </c>
      <c r="B15" s="1" t="s">
        <v>646</v>
      </c>
      <c r="C15" s="1" t="s">
        <v>779</v>
      </c>
      <c r="D15" s="1" t="s">
        <v>450</v>
      </c>
      <c r="E15" s="1" t="s">
        <v>841</v>
      </c>
      <c r="F15" s="1" t="s">
        <v>30</v>
      </c>
      <c r="G15" s="1" t="s">
        <v>186</v>
      </c>
      <c r="H15" s="1" t="s">
        <v>27</v>
      </c>
      <c r="I15" s="1" t="s">
        <v>842</v>
      </c>
      <c r="J15" s="1" t="s">
        <v>843</v>
      </c>
      <c r="K15" s="1" t="s">
        <v>844</v>
      </c>
      <c r="L15" s="1" t="s">
        <v>59</v>
      </c>
      <c r="M15" s="8" t="s">
        <v>23</v>
      </c>
      <c r="N15" s="8" t="s">
        <v>59</v>
      </c>
      <c r="O15" s="1" t="s">
        <v>59</v>
      </c>
      <c r="P15" s="1" t="s">
        <v>101</v>
      </c>
    </row>
    <row r="16" spans="1:16" ht="57.6" x14ac:dyDescent="0.3">
      <c r="A16" s="1" t="s">
        <v>845</v>
      </c>
      <c r="B16" s="1" t="s">
        <v>646</v>
      </c>
      <c r="C16" s="1" t="s">
        <v>779</v>
      </c>
      <c r="D16" s="1" t="s">
        <v>387</v>
      </c>
      <c r="E16" s="1" t="s">
        <v>846</v>
      </c>
      <c r="F16" s="1" t="s">
        <v>30</v>
      </c>
      <c r="G16" s="1" t="s">
        <v>173</v>
      </c>
      <c r="H16" s="1" t="s">
        <v>24</v>
      </c>
      <c r="I16" s="1" t="s">
        <v>847</v>
      </c>
      <c r="J16" s="1" t="s">
        <v>848</v>
      </c>
      <c r="K16" s="1" t="s">
        <v>849</v>
      </c>
      <c r="L16" s="1" t="s">
        <v>59</v>
      </c>
      <c r="M16" s="8" t="s">
        <v>23</v>
      </c>
      <c r="N16" s="8" t="s">
        <v>59</v>
      </c>
      <c r="O16" s="1" t="s">
        <v>59</v>
      </c>
      <c r="P16" s="1" t="s">
        <v>101</v>
      </c>
    </row>
  </sheetData>
  <mergeCells count="2">
    <mergeCell ref="A2:H2"/>
    <mergeCell ref="A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xr:uid="{00000000-0002-0000-0F00-000000000000}">
          <x14:formula1>
            <xm:f>Referensi!$A$1:$A$6</xm:f>
          </x14:formula1>
          <xm:sqref>M5:M7</xm:sqref>
        </x14:dataValidation>
        <x14:dataValidation type="list" allowBlank="1" xr:uid="{00000000-0002-0000-0F00-000001000000}">
          <x14:formula1>
            <xm:f>Referensi!$B$1:$B$3</xm:f>
          </x14:formula1>
          <xm:sqref>H5:H7</xm:sqref>
        </x14:dataValidation>
        <x14:dataValidation type="list" allowBlank="1" xr:uid="{00000000-0002-0000-0F00-000002000000}">
          <x14:formula1>
            <xm:f>Referensi!$C$1:$C$4</xm:f>
          </x14:formula1>
          <xm:sqref>F5:F7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14"/>
  <sheetViews>
    <sheetView showGridLines="0" workbookViewId="0"/>
  </sheetViews>
  <sheetFormatPr defaultRowHeight="14.4" x14ac:dyDescent="0.3"/>
  <cols>
    <col min="1" max="1" width="14" customWidth="1"/>
    <col min="2" max="2" width="16" customWidth="1"/>
    <col min="3" max="3" width="24" customWidth="1"/>
    <col min="4" max="4" width="22" customWidth="1"/>
    <col min="5" max="5" width="34" customWidth="1"/>
    <col min="6" max="6" width="14" customWidth="1"/>
    <col min="7" max="7" width="20" customWidth="1"/>
    <col min="8" max="8" width="10" customWidth="1"/>
    <col min="9" max="9" width="28" customWidth="1"/>
    <col min="10" max="10" width="46" customWidth="1"/>
    <col min="11" max="11" width="42" customWidth="1"/>
    <col min="12" max="12" width="20" customWidth="1"/>
    <col min="13" max="13" width="14" customWidth="1"/>
    <col min="14" max="15" width="26" customWidth="1"/>
    <col min="16" max="16" width="34" customWidth="1"/>
  </cols>
  <sheetData>
    <row r="1" spans="1:16" ht="24" customHeight="1" x14ac:dyDescent="0.3">
      <c r="A1" s="17" t="s">
        <v>2264</v>
      </c>
      <c r="B1" s="16"/>
      <c r="C1" s="16"/>
      <c r="D1" s="16"/>
      <c r="E1" s="16"/>
      <c r="F1" s="16"/>
      <c r="G1" s="16"/>
      <c r="H1" s="16"/>
    </row>
    <row r="2" spans="1:16" ht="36" customHeight="1" x14ac:dyDescent="0.3">
      <c r="A2" s="15" t="s">
        <v>34</v>
      </c>
      <c r="B2" s="16"/>
      <c r="C2" s="16"/>
      <c r="D2" s="16"/>
      <c r="E2" s="16"/>
      <c r="F2" s="16"/>
      <c r="G2" s="16"/>
      <c r="H2" s="16"/>
    </row>
    <row r="4" spans="1:16" x14ac:dyDescent="0.3">
      <c r="A4" s="5" t="s">
        <v>35</v>
      </c>
      <c r="B4" s="5" t="s">
        <v>36</v>
      </c>
      <c r="C4" s="5" t="s">
        <v>37</v>
      </c>
      <c r="D4" s="5" t="s">
        <v>38</v>
      </c>
      <c r="E4" s="5" t="s">
        <v>39</v>
      </c>
      <c r="F4" s="5" t="s">
        <v>40</v>
      </c>
      <c r="G4" s="5" t="s">
        <v>41</v>
      </c>
      <c r="H4" s="5" t="s">
        <v>42</v>
      </c>
      <c r="I4" s="5" t="s">
        <v>43</v>
      </c>
      <c r="J4" s="5" t="s">
        <v>44</v>
      </c>
      <c r="K4" s="5" t="s">
        <v>45</v>
      </c>
      <c r="L4" s="5" t="s">
        <v>46</v>
      </c>
      <c r="M4" s="5" t="s">
        <v>17</v>
      </c>
      <c r="N4" s="5" t="s">
        <v>47</v>
      </c>
      <c r="O4" s="5" t="s">
        <v>20</v>
      </c>
      <c r="P4" s="5" t="s">
        <v>48</v>
      </c>
    </row>
    <row r="5" spans="1:16" ht="43.2" x14ac:dyDescent="0.3">
      <c r="A5" s="1" t="s">
        <v>850</v>
      </c>
      <c r="B5" s="1" t="s">
        <v>646</v>
      </c>
      <c r="C5" s="1" t="s">
        <v>851</v>
      </c>
      <c r="D5" s="1" t="s">
        <v>852</v>
      </c>
      <c r="E5" s="1" t="s">
        <v>853</v>
      </c>
      <c r="F5" s="1" t="s">
        <v>25</v>
      </c>
      <c r="G5" s="1" t="s">
        <v>212</v>
      </c>
      <c r="H5" s="1" t="s">
        <v>24</v>
      </c>
      <c r="I5" s="1" t="s">
        <v>854</v>
      </c>
      <c r="J5" s="1" t="s">
        <v>855</v>
      </c>
      <c r="K5" s="1" t="s">
        <v>856</v>
      </c>
      <c r="L5" s="1" t="s">
        <v>59</v>
      </c>
      <c r="M5" s="8" t="s">
        <v>23</v>
      </c>
      <c r="N5" s="8" t="s">
        <v>59</v>
      </c>
      <c r="O5" s="1" t="s">
        <v>59</v>
      </c>
      <c r="P5" s="1" t="s">
        <v>857</v>
      </c>
    </row>
    <row r="6" spans="1:16" ht="57.6" x14ac:dyDescent="0.3">
      <c r="A6" s="1" t="s">
        <v>858</v>
      </c>
      <c r="B6" s="1" t="s">
        <v>646</v>
      </c>
      <c r="C6" s="1" t="s">
        <v>851</v>
      </c>
      <c r="D6" s="1" t="s">
        <v>859</v>
      </c>
      <c r="E6" s="1" t="s">
        <v>860</v>
      </c>
      <c r="F6" s="1" t="s">
        <v>25</v>
      </c>
      <c r="G6" s="1" t="s">
        <v>212</v>
      </c>
      <c r="H6" s="1" t="s">
        <v>24</v>
      </c>
      <c r="I6" s="1" t="s">
        <v>861</v>
      </c>
      <c r="J6" s="1" t="s">
        <v>862</v>
      </c>
      <c r="K6" s="1" t="s">
        <v>863</v>
      </c>
      <c r="L6" s="1" t="s">
        <v>59</v>
      </c>
      <c r="M6" s="8" t="s">
        <v>23</v>
      </c>
      <c r="N6" s="8" t="s">
        <v>59</v>
      </c>
      <c r="O6" s="1" t="s">
        <v>59</v>
      </c>
      <c r="P6" s="1" t="s">
        <v>88</v>
      </c>
    </row>
    <row r="7" spans="1:16" ht="57.6" x14ac:dyDescent="0.3">
      <c r="A7" s="1" t="s">
        <v>864</v>
      </c>
      <c r="B7" s="1" t="s">
        <v>646</v>
      </c>
      <c r="C7" s="1" t="s">
        <v>851</v>
      </c>
      <c r="D7" s="1" t="s">
        <v>865</v>
      </c>
      <c r="E7" s="1" t="s">
        <v>866</v>
      </c>
      <c r="F7" s="1" t="s">
        <v>25</v>
      </c>
      <c r="G7" s="1" t="s">
        <v>212</v>
      </c>
      <c r="H7" s="1" t="s">
        <v>24</v>
      </c>
      <c r="I7" s="1" t="s">
        <v>867</v>
      </c>
      <c r="J7" s="1" t="s">
        <v>868</v>
      </c>
      <c r="K7" s="1" t="s">
        <v>869</v>
      </c>
      <c r="L7" s="1" t="s">
        <v>59</v>
      </c>
      <c r="M7" s="8" t="s">
        <v>23</v>
      </c>
      <c r="N7" s="8" t="s">
        <v>59</v>
      </c>
      <c r="O7" s="1" t="s">
        <v>59</v>
      </c>
      <c r="P7" s="1" t="s">
        <v>88</v>
      </c>
    </row>
    <row r="8" spans="1:16" ht="57.6" x14ac:dyDescent="0.3">
      <c r="A8" s="1" t="s">
        <v>870</v>
      </c>
      <c r="B8" s="1" t="s">
        <v>646</v>
      </c>
      <c r="C8" s="1" t="s">
        <v>851</v>
      </c>
      <c r="D8" s="1" t="s">
        <v>871</v>
      </c>
      <c r="E8" s="1" t="s">
        <v>872</v>
      </c>
      <c r="F8" s="1" t="s">
        <v>31</v>
      </c>
      <c r="G8" s="1" t="s">
        <v>212</v>
      </c>
      <c r="H8" s="1" t="s">
        <v>27</v>
      </c>
      <c r="I8" s="1" t="s">
        <v>873</v>
      </c>
      <c r="J8" s="1" t="s">
        <v>874</v>
      </c>
      <c r="K8" s="1" t="s">
        <v>875</v>
      </c>
      <c r="L8" s="1" t="s">
        <v>59</v>
      </c>
      <c r="M8" s="8" t="s">
        <v>23</v>
      </c>
      <c r="N8" s="8" t="s">
        <v>59</v>
      </c>
      <c r="O8" s="1" t="s">
        <v>59</v>
      </c>
      <c r="P8" s="1" t="s">
        <v>88</v>
      </c>
    </row>
    <row r="9" spans="1:16" ht="86.4" x14ac:dyDescent="0.3">
      <c r="A9" s="1" t="s">
        <v>876</v>
      </c>
      <c r="B9" s="1" t="s">
        <v>646</v>
      </c>
      <c r="C9" s="1" t="s">
        <v>851</v>
      </c>
      <c r="D9" s="1" t="s">
        <v>877</v>
      </c>
      <c r="E9" s="1" t="s">
        <v>878</v>
      </c>
      <c r="F9" s="1" t="s">
        <v>25</v>
      </c>
      <c r="G9" s="1" t="s">
        <v>180</v>
      </c>
      <c r="H9" s="1" t="s">
        <v>24</v>
      </c>
      <c r="I9" s="1" t="s">
        <v>879</v>
      </c>
      <c r="J9" s="1" t="s">
        <v>880</v>
      </c>
      <c r="K9" s="1" t="s">
        <v>881</v>
      </c>
      <c r="L9" s="1" t="s">
        <v>59</v>
      </c>
      <c r="M9" s="8" t="s">
        <v>23</v>
      </c>
      <c r="N9" s="8" t="s">
        <v>59</v>
      </c>
      <c r="O9" s="1" t="s">
        <v>59</v>
      </c>
      <c r="P9" s="1" t="s">
        <v>263</v>
      </c>
    </row>
    <row r="10" spans="1:16" ht="57.6" x14ac:dyDescent="0.3">
      <c r="A10" s="1" t="s">
        <v>882</v>
      </c>
      <c r="B10" s="1" t="s">
        <v>646</v>
      </c>
      <c r="C10" s="1" t="s">
        <v>851</v>
      </c>
      <c r="D10" s="1" t="s">
        <v>883</v>
      </c>
      <c r="E10" s="1" t="s">
        <v>884</v>
      </c>
      <c r="F10" s="1" t="s">
        <v>25</v>
      </c>
      <c r="G10" s="1" t="s">
        <v>180</v>
      </c>
      <c r="H10" s="1" t="s">
        <v>27</v>
      </c>
      <c r="I10" s="1" t="s">
        <v>885</v>
      </c>
      <c r="J10" s="1" t="s">
        <v>886</v>
      </c>
      <c r="K10" s="1" t="s">
        <v>887</v>
      </c>
      <c r="L10" s="1" t="s">
        <v>59</v>
      </c>
      <c r="M10" s="8" t="s">
        <v>23</v>
      </c>
      <c r="N10" s="8" t="s">
        <v>59</v>
      </c>
      <c r="O10" s="1" t="s">
        <v>59</v>
      </c>
      <c r="P10" s="1" t="s">
        <v>81</v>
      </c>
    </row>
    <row r="11" spans="1:16" ht="43.2" x14ac:dyDescent="0.3">
      <c r="A11" s="1" t="s">
        <v>888</v>
      </c>
      <c r="B11" s="1" t="s">
        <v>646</v>
      </c>
      <c r="C11" s="1" t="s">
        <v>851</v>
      </c>
      <c r="D11" s="1" t="s">
        <v>889</v>
      </c>
      <c r="E11" s="1" t="s">
        <v>890</v>
      </c>
      <c r="F11" s="1" t="s">
        <v>28</v>
      </c>
      <c r="G11" s="1" t="s">
        <v>180</v>
      </c>
      <c r="H11" s="1" t="s">
        <v>24</v>
      </c>
      <c r="I11" s="1" t="s">
        <v>891</v>
      </c>
      <c r="J11" s="1" t="s">
        <v>892</v>
      </c>
      <c r="K11" s="1" t="s">
        <v>893</v>
      </c>
      <c r="L11" s="1" t="s">
        <v>59</v>
      </c>
      <c r="M11" s="8" t="s">
        <v>23</v>
      </c>
      <c r="N11" s="8" t="s">
        <v>59</v>
      </c>
      <c r="O11" s="1" t="s">
        <v>59</v>
      </c>
      <c r="P11" s="1" t="s">
        <v>88</v>
      </c>
    </row>
    <row r="12" spans="1:16" ht="72" x14ac:dyDescent="0.3">
      <c r="A12" s="1" t="s">
        <v>894</v>
      </c>
      <c r="B12" s="1" t="s">
        <v>646</v>
      </c>
      <c r="C12" s="1" t="s">
        <v>851</v>
      </c>
      <c r="D12" s="1" t="s">
        <v>340</v>
      </c>
      <c r="E12" s="1" t="s">
        <v>895</v>
      </c>
      <c r="F12" s="1" t="s">
        <v>30</v>
      </c>
      <c r="G12" s="1" t="s">
        <v>219</v>
      </c>
      <c r="H12" s="1" t="s">
        <v>24</v>
      </c>
      <c r="I12" s="1" t="s">
        <v>896</v>
      </c>
      <c r="J12" s="1" t="s">
        <v>897</v>
      </c>
      <c r="K12" s="1" t="s">
        <v>898</v>
      </c>
      <c r="L12" s="1" t="s">
        <v>59</v>
      </c>
      <c r="M12" s="8" t="s">
        <v>23</v>
      </c>
      <c r="N12" s="8" t="s">
        <v>59</v>
      </c>
      <c r="O12" s="1" t="s">
        <v>59</v>
      </c>
      <c r="P12" s="1" t="s">
        <v>101</v>
      </c>
    </row>
    <row r="13" spans="1:16" ht="57.6" x14ac:dyDescent="0.3">
      <c r="A13" s="1" t="s">
        <v>899</v>
      </c>
      <c r="B13" s="1" t="s">
        <v>646</v>
      </c>
      <c r="C13" s="1" t="s">
        <v>851</v>
      </c>
      <c r="D13" s="1" t="s">
        <v>900</v>
      </c>
      <c r="E13" s="1" t="s">
        <v>901</v>
      </c>
      <c r="F13" s="1" t="s">
        <v>31</v>
      </c>
      <c r="G13" s="1" t="s">
        <v>212</v>
      </c>
      <c r="H13" s="1" t="s">
        <v>24</v>
      </c>
      <c r="I13" s="1" t="s">
        <v>902</v>
      </c>
      <c r="J13" s="1" t="s">
        <v>903</v>
      </c>
      <c r="K13" s="1" t="s">
        <v>904</v>
      </c>
      <c r="L13" s="1" t="s">
        <v>59</v>
      </c>
      <c r="M13" s="8" t="s">
        <v>23</v>
      </c>
      <c r="N13" s="8" t="s">
        <v>59</v>
      </c>
      <c r="O13" s="1" t="s">
        <v>59</v>
      </c>
      <c r="P13" s="1" t="s">
        <v>81</v>
      </c>
    </row>
    <row r="14" spans="1:16" ht="57.6" x14ac:dyDescent="0.3">
      <c r="A14" s="1" t="s">
        <v>905</v>
      </c>
      <c r="B14" s="1" t="s">
        <v>646</v>
      </c>
      <c r="C14" s="1" t="s">
        <v>851</v>
      </c>
      <c r="D14" s="1" t="s">
        <v>906</v>
      </c>
      <c r="E14" s="1" t="s">
        <v>907</v>
      </c>
      <c r="F14" s="1" t="s">
        <v>28</v>
      </c>
      <c r="G14" s="1" t="s">
        <v>908</v>
      </c>
      <c r="H14" s="1" t="s">
        <v>27</v>
      </c>
      <c r="I14" s="1" t="s">
        <v>909</v>
      </c>
      <c r="J14" s="1" t="s">
        <v>910</v>
      </c>
      <c r="K14" s="1" t="s">
        <v>911</v>
      </c>
      <c r="L14" s="1" t="s">
        <v>59</v>
      </c>
      <c r="M14" s="8" t="s">
        <v>23</v>
      </c>
      <c r="N14" s="8" t="s">
        <v>59</v>
      </c>
      <c r="O14" s="1" t="s">
        <v>59</v>
      </c>
      <c r="P14" s="1" t="s">
        <v>88</v>
      </c>
    </row>
  </sheetData>
  <mergeCells count="2">
    <mergeCell ref="A2:H2"/>
    <mergeCell ref="A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xr:uid="{00000000-0002-0000-1000-000000000000}">
          <x14:formula1>
            <xm:f>Referensi!$A$1:$A$6</xm:f>
          </x14:formula1>
          <xm:sqref>M5:M8</xm:sqref>
        </x14:dataValidation>
        <x14:dataValidation type="list" allowBlank="1" xr:uid="{00000000-0002-0000-1000-000001000000}">
          <x14:formula1>
            <xm:f>Referensi!$B$1:$B$3</xm:f>
          </x14:formula1>
          <xm:sqref>H5:H8</xm:sqref>
        </x14:dataValidation>
        <x14:dataValidation type="list" allowBlank="1" xr:uid="{00000000-0002-0000-1000-000002000000}">
          <x14:formula1>
            <xm:f>Referensi!$C$1:$C$4</xm:f>
          </x14:formula1>
          <xm:sqref>F5:F8</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16"/>
  <sheetViews>
    <sheetView showGridLines="0" workbookViewId="0"/>
  </sheetViews>
  <sheetFormatPr defaultRowHeight="14.4" x14ac:dyDescent="0.3"/>
  <cols>
    <col min="1" max="1" width="14" customWidth="1"/>
    <col min="2" max="2" width="16" customWidth="1"/>
    <col min="3" max="3" width="24" customWidth="1"/>
    <col min="4" max="4" width="22" customWidth="1"/>
    <col min="5" max="5" width="34" customWidth="1"/>
    <col min="6" max="6" width="14" customWidth="1"/>
    <col min="7" max="7" width="20" customWidth="1"/>
    <col min="8" max="8" width="10" customWidth="1"/>
    <col min="9" max="9" width="28" customWidth="1"/>
    <col min="10" max="10" width="46" customWidth="1"/>
    <col min="11" max="11" width="42" customWidth="1"/>
    <col min="12" max="12" width="20" customWidth="1"/>
    <col min="13" max="13" width="14" customWidth="1"/>
    <col min="14" max="15" width="26" customWidth="1"/>
    <col min="16" max="16" width="34" customWidth="1"/>
  </cols>
  <sheetData>
    <row r="1" spans="1:16" ht="24" customHeight="1" x14ac:dyDescent="0.3">
      <c r="A1" s="17" t="s">
        <v>2265</v>
      </c>
      <c r="B1" s="16"/>
      <c r="C1" s="16"/>
      <c r="D1" s="16"/>
      <c r="E1" s="16"/>
      <c r="F1" s="16"/>
      <c r="G1" s="16"/>
      <c r="H1" s="16"/>
    </row>
    <row r="2" spans="1:16" ht="36" customHeight="1" x14ac:dyDescent="0.3">
      <c r="A2" s="15" t="s">
        <v>34</v>
      </c>
      <c r="B2" s="16"/>
      <c r="C2" s="16"/>
      <c r="D2" s="16"/>
      <c r="E2" s="16"/>
      <c r="F2" s="16"/>
      <c r="G2" s="16"/>
      <c r="H2" s="16"/>
    </row>
    <row r="4" spans="1:16" x14ac:dyDescent="0.3">
      <c r="A4" s="5" t="s">
        <v>35</v>
      </c>
      <c r="B4" s="5" t="s">
        <v>36</v>
      </c>
      <c r="C4" s="5" t="s">
        <v>37</v>
      </c>
      <c r="D4" s="5" t="s">
        <v>38</v>
      </c>
      <c r="E4" s="5" t="s">
        <v>39</v>
      </c>
      <c r="F4" s="5" t="s">
        <v>40</v>
      </c>
      <c r="G4" s="5" t="s">
        <v>41</v>
      </c>
      <c r="H4" s="5" t="s">
        <v>42</v>
      </c>
      <c r="I4" s="5" t="s">
        <v>43</v>
      </c>
      <c r="J4" s="5" t="s">
        <v>44</v>
      </c>
      <c r="K4" s="5" t="s">
        <v>45</v>
      </c>
      <c r="L4" s="5" t="s">
        <v>46</v>
      </c>
      <c r="M4" s="5" t="s">
        <v>17</v>
      </c>
      <c r="N4" s="5" t="s">
        <v>47</v>
      </c>
      <c r="O4" s="5" t="s">
        <v>20</v>
      </c>
      <c r="P4" s="5" t="s">
        <v>48</v>
      </c>
    </row>
    <row r="5" spans="1:16" ht="72" x14ac:dyDescent="0.3">
      <c r="A5" s="1" t="s">
        <v>912</v>
      </c>
      <c r="B5" s="1" t="s">
        <v>577</v>
      </c>
      <c r="C5" s="1" t="s">
        <v>913</v>
      </c>
      <c r="D5" s="1" t="s">
        <v>914</v>
      </c>
      <c r="E5" s="1" t="s">
        <v>915</v>
      </c>
      <c r="F5" s="1" t="s">
        <v>25</v>
      </c>
      <c r="G5" s="1" t="s">
        <v>916</v>
      </c>
      <c r="H5" s="1" t="s">
        <v>24</v>
      </c>
      <c r="I5" s="1" t="s">
        <v>917</v>
      </c>
      <c r="J5" s="1" t="s">
        <v>918</v>
      </c>
      <c r="K5" s="1" t="s">
        <v>919</v>
      </c>
      <c r="L5" s="1" t="s">
        <v>59</v>
      </c>
      <c r="M5" s="8" t="s">
        <v>23</v>
      </c>
      <c r="N5" s="8" t="s">
        <v>59</v>
      </c>
      <c r="O5" s="1" t="s">
        <v>59</v>
      </c>
      <c r="P5" s="1" t="s">
        <v>81</v>
      </c>
    </row>
    <row r="6" spans="1:16" ht="72" x14ac:dyDescent="0.3">
      <c r="A6" s="1" t="s">
        <v>920</v>
      </c>
      <c r="B6" s="1" t="s">
        <v>577</v>
      </c>
      <c r="C6" s="1" t="s">
        <v>913</v>
      </c>
      <c r="D6" s="1" t="s">
        <v>921</v>
      </c>
      <c r="E6" s="1" t="s">
        <v>922</v>
      </c>
      <c r="F6" s="1" t="s">
        <v>25</v>
      </c>
      <c r="G6" s="1" t="s">
        <v>916</v>
      </c>
      <c r="H6" s="1" t="s">
        <v>24</v>
      </c>
      <c r="I6" s="1" t="s">
        <v>923</v>
      </c>
      <c r="J6" s="1" t="s">
        <v>924</v>
      </c>
      <c r="K6" s="1" t="s">
        <v>925</v>
      </c>
      <c r="L6" s="1" t="s">
        <v>59</v>
      </c>
      <c r="M6" s="8" t="s">
        <v>23</v>
      </c>
      <c r="N6" s="8" t="s">
        <v>59</v>
      </c>
      <c r="O6" s="1" t="s">
        <v>59</v>
      </c>
      <c r="P6" s="1" t="s">
        <v>81</v>
      </c>
    </row>
    <row r="7" spans="1:16" ht="72" x14ac:dyDescent="0.3">
      <c r="A7" s="1" t="s">
        <v>926</v>
      </c>
      <c r="B7" s="1" t="s">
        <v>577</v>
      </c>
      <c r="C7" s="1" t="s">
        <v>913</v>
      </c>
      <c r="D7" s="1" t="s">
        <v>927</v>
      </c>
      <c r="E7" s="1" t="s">
        <v>928</v>
      </c>
      <c r="F7" s="1" t="s">
        <v>31</v>
      </c>
      <c r="G7" s="1" t="s">
        <v>916</v>
      </c>
      <c r="H7" s="1" t="s">
        <v>24</v>
      </c>
      <c r="I7" s="1" t="s">
        <v>929</v>
      </c>
      <c r="J7" s="1" t="s">
        <v>930</v>
      </c>
      <c r="K7" s="1" t="s">
        <v>931</v>
      </c>
      <c r="L7" s="1" t="s">
        <v>59</v>
      </c>
      <c r="M7" s="8" t="s">
        <v>23</v>
      </c>
      <c r="N7" s="8" t="s">
        <v>59</v>
      </c>
      <c r="O7" s="1" t="s">
        <v>59</v>
      </c>
      <c r="P7" s="1" t="s">
        <v>81</v>
      </c>
    </row>
    <row r="8" spans="1:16" ht="57.6" x14ac:dyDescent="0.3">
      <c r="A8" s="1" t="s">
        <v>932</v>
      </c>
      <c r="B8" s="1" t="s">
        <v>577</v>
      </c>
      <c r="C8" s="1" t="s">
        <v>913</v>
      </c>
      <c r="D8" s="1" t="s">
        <v>933</v>
      </c>
      <c r="E8" s="1" t="s">
        <v>934</v>
      </c>
      <c r="F8" s="1" t="s">
        <v>25</v>
      </c>
      <c r="G8" s="1" t="s">
        <v>916</v>
      </c>
      <c r="H8" s="1" t="s">
        <v>27</v>
      </c>
      <c r="I8" s="1" t="s">
        <v>935</v>
      </c>
      <c r="J8" s="1" t="s">
        <v>936</v>
      </c>
      <c r="K8" s="1" t="s">
        <v>937</v>
      </c>
      <c r="L8" s="1" t="s">
        <v>59</v>
      </c>
      <c r="M8" s="8" t="s">
        <v>23</v>
      </c>
      <c r="N8" s="8" t="s">
        <v>59</v>
      </c>
      <c r="O8" s="1" t="s">
        <v>59</v>
      </c>
      <c r="P8" s="1" t="s">
        <v>81</v>
      </c>
    </row>
    <row r="9" spans="1:16" ht="43.2" x14ac:dyDescent="0.3">
      <c r="A9" s="1" t="s">
        <v>938</v>
      </c>
      <c r="B9" s="1" t="s">
        <v>577</v>
      </c>
      <c r="C9" s="1" t="s">
        <v>913</v>
      </c>
      <c r="D9" s="1" t="s">
        <v>696</v>
      </c>
      <c r="E9" s="1" t="s">
        <v>939</v>
      </c>
      <c r="F9" s="1" t="s">
        <v>30</v>
      </c>
      <c r="G9" s="1" t="s">
        <v>940</v>
      </c>
      <c r="H9" s="1" t="s">
        <v>27</v>
      </c>
      <c r="I9" s="1" t="s">
        <v>941</v>
      </c>
      <c r="J9" s="1" t="s">
        <v>942</v>
      </c>
      <c r="K9" s="1" t="s">
        <v>943</v>
      </c>
      <c r="L9" s="1" t="s">
        <v>59</v>
      </c>
      <c r="M9" s="8" t="s">
        <v>23</v>
      </c>
      <c r="N9" s="8" t="s">
        <v>59</v>
      </c>
      <c r="O9" s="1" t="s">
        <v>59</v>
      </c>
      <c r="P9" s="1" t="s">
        <v>88</v>
      </c>
    </row>
    <row r="10" spans="1:16" ht="57.6" x14ac:dyDescent="0.3">
      <c r="A10" s="1" t="s">
        <v>944</v>
      </c>
      <c r="B10" s="1" t="s">
        <v>577</v>
      </c>
      <c r="C10" s="1" t="s">
        <v>913</v>
      </c>
      <c r="D10" s="1" t="s">
        <v>945</v>
      </c>
      <c r="E10" s="1" t="s">
        <v>946</v>
      </c>
      <c r="F10" s="1" t="s">
        <v>25</v>
      </c>
      <c r="G10" s="1" t="s">
        <v>180</v>
      </c>
      <c r="H10" s="1" t="s">
        <v>24</v>
      </c>
      <c r="I10" s="1" t="s">
        <v>947</v>
      </c>
      <c r="J10" s="1" t="s">
        <v>948</v>
      </c>
      <c r="K10" s="1" t="s">
        <v>949</v>
      </c>
      <c r="L10" s="1" t="s">
        <v>59</v>
      </c>
      <c r="M10" s="8" t="s">
        <v>23</v>
      </c>
      <c r="N10" s="8" t="s">
        <v>59</v>
      </c>
      <c r="O10" s="1" t="s">
        <v>59</v>
      </c>
      <c r="P10" s="1" t="s">
        <v>263</v>
      </c>
    </row>
    <row r="11" spans="1:16" ht="57.6" x14ac:dyDescent="0.3">
      <c r="A11" s="1" t="s">
        <v>950</v>
      </c>
      <c r="B11" s="1" t="s">
        <v>577</v>
      </c>
      <c r="C11" s="1" t="s">
        <v>913</v>
      </c>
      <c r="D11" s="1" t="s">
        <v>951</v>
      </c>
      <c r="E11" s="1" t="s">
        <v>952</v>
      </c>
      <c r="F11" s="1" t="s">
        <v>25</v>
      </c>
      <c r="G11" s="1" t="s">
        <v>180</v>
      </c>
      <c r="H11" s="1" t="s">
        <v>27</v>
      </c>
      <c r="I11" s="1" t="s">
        <v>953</v>
      </c>
      <c r="J11" s="1" t="s">
        <v>954</v>
      </c>
      <c r="K11" s="1" t="s">
        <v>955</v>
      </c>
      <c r="L11" s="1" t="s">
        <v>59</v>
      </c>
      <c r="M11" s="8" t="s">
        <v>23</v>
      </c>
      <c r="N11" s="8" t="s">
        <v>59</v>
      </c>
      <c r="O11" s="1" t="s">
        <v>59</v>
      </c>
      <c r="P11" s="1" t="s">
        <v>60</v>
      </c>
    </row>
    <row r="12" spans="1:16" ht="57.6" x14ac:dyDescent="0.3">
      <c r="A12" s="1" t="s">
        <v>956</v>
      </c>
      <c r="B12" s="1" t="s">
        <v>577</v>
      </c>
      <c r="C12" s="1" t="s">
        <v>913</v>
      </c>
      <c r="D12" s="1" t="s">
        <v>957</v>
      </c>
      <c r="E12" s="1" t="s">
        <v>958</v>
      </c>
      <c r="F12" s="1" t="s">
        <v>28</v>
      </c>
      <c r="G12" s="1" t="s">
        <v>180</v>
      </c>
      <c r="H12" s="1" t="s">
        <v>27</v>
      </c>
      <c r="I12" s="1" t="s">
        <v>959</v>
      </c>
      <c r="J12" s="1" t="s">
        <v>960</v>
      </c>
      <c r="K12" s="1" t="s">
        <v>961</v>
      </c>
      <c r="L12" s="1" t="s">
        <v>59</v>
      </c>
      <c r="M12" s="8" t="s">
        <v>23</v>
      </c>
      <c r="N12" s="8" t="s">
        <v>59</v>
      </c>
      <c r="O12" s="1" t="s">
        <v>59</v>
      </c>
      <c r="P12" s="1" t="s">
        <v>88</v>
      </c>
    </row>
    <row r="13" spans="1:16" ht="72" x14ac:dyDescent="0.3">
      <c r="A13" s="1" t="s">
        <v>962</v>
      </c>
      <c r="B13" s="1" t="s">
        <v>577</v>
      </c>
      <c r="C13" s="1" t="s">
        <v>913</v>
      </c>
      <c r="D13" s="1" t="s">
        <v>963</v>
      </c>
      <c r="E13" s="1" t="s">
        <v>964</v>
      </c>
      <c r="F13" s="1" t="s">
        <v>25</v>
      </c>
      <c r="G13" s="1" t="s">
        <v>180</v>
      </c>
      <c r="H13" s="1" t="s">
        <v>27</v>
      </c>
      <c r="I13" s="1" t="s">
        <v>965</v>
      </c>
      <c r="J13" s="1" t="s">
        <v>966</v>
      </c>
      <c r="K13" s="1" t="s">
        <v>967</v>
      </c>
      <c r="L13" s="1" t="s">
        <v>59</v>
      </c>
      <c r="M13" s="8" t="s">
        <v>23</v>
      </c>
      <c r="N13" s="8" t="s">
        <v>59</v>
      </c>
      <c r="O13" s="1" t="s">
        <v>59</v>
      </c>
      <c r="P13" s="1" t="s">
        <v>263</v>
      </c>
    </row>
    <row r="14" spans="1:16" ht="57.6" x14ac:dyDescent="0.3">
      <c r="A14" s="1" t="s">
        <v>968</v>
      </c>
      <c r="B14" s="1" t="s">
        <v>577</v>
      </c>
      <c r="C14" s="1" t="s">
        <v>913</v>
      </c>
      <c r="D14" s="1" t="s">
        <v>969</v>
      </c>
      <c r="E14" s="1" t="s">
        <v>970</v>
      </c>
      <c r="F14" s="1" t="s">
        <v>30</v>
      </c>
      <c r="G14" s="1" t="s">
        <v>186</v>
      </c>
      <c r="H14" s="1" t="s">
        <v>27</v>
      </c>
      <c r="I14" s="1" t="s">
        <v>971</v>
      </c>
      <c r="J14" s="1" t="s">
        <v>972</v>
      </c>
      <c r="K14" s="1" t="s">
        <v>973</v>
      </c>
      <c r="L14" s="1" t="s">
        <v>59</v>
      </c>
      <c r="M14" s="8" t="s">
        <v>23</v>
      </c>
      <c r="N14" s="8" t="s">
        <v>59</v>
      </c>
      <c r="O14" s="1" t="s">
        <v>59</v>
      </c>
      <c r="P14" s="1" t="s">
        <v>101</v>
      </c>
    </row>
    <row r="15" spans="1:16" ht="57.6" x14ac:dyDescent="0.3">
      <c r="A15" s="1" t="s">
        <v>974</v>
      </c>
      <c r="B15" s="1" t="s">
        <v>577</v>
      </c>
      <c r="C15" s="1" t="s">
        <v>913</v>
      </c>
      <c r="D15" s="1" t="s">
        <v>975</v>
      </c>
      <c r="E15" s="1" t="s">
        <v>976</v>
      </c>
      <c r="F15" s="1" t="s">
        <v>25</v>
      </c>
      <c r="G15" s="1" t="s">
        <v>977</v>
      </c>
      <c r="H15" s="1" t="s">
        <v>27</v>
      </c>
      <c r="I15" s="1" t="s">
        <v>978</v>
      </c>
      <c r="J15" s="1" t="s">
        <v>979</v>
      </c>
      <c r="K15" s="1" t="s">
        <v>980</v>
      </c>
      <c r="L15" s="1" t="s">
        <v>59</v>
      </c>
      <c r="M15" s="8" t="s">
        <v>23</v>
      </c>
      <c r="N15" s="8" t="s">
        <v>59</v>
      </c>
      <c r="O15" s="1" t="s">
        <v>59</v>
      </c>
      <c r="P15" s="1" t="s">
        <v>81</v>
      </c>
    </row>
    <row r="16" spans="1:16" ht="43.2" x14ac:dyDescent="0.3">
      <c r="A16" s="1" t="s">
        <v>981</v>
      </c>
      <c r="B16" s="1" t="s">
        <v>577</v>
      </c>
      <c r="C16" s="1" t="s">
        <v>913</v>
      </c>
      <c r="D16" s="1" t="s">
        <v>387</v>
      </c>
      <c r="E16" s="1" t="s">
        <v>982</v>
      </c>
      <c r="F16" s="1" t="s">
        <v>30</v>
      </c>
      <c r="G16" s="1" t="s">
        <v>173</v>
      </c>
      <c r="H16" s="1" t="s">
        <v>24</v>
      </c>
      <c r="I16" s="1" t="s">
        <v>983</v>
      </c>
      <c r="J16" s="1" t="s">
        <v>984</v>
      </c>
      <c r="K16" s="1" t="s">
        <v>985</v>
      </c>
      <c r="L16" s="1" t="s">
        <v>59</v>
      </c>
      <c r="M16" s="8" t="s">
        <v>23</v>
      </c>
      <c r="N16" s="8" t="s">
        <v>59</v>
      </c>
      <c r="O16" s="1" t="s">
        <v>59</v>
      </c>
      <c r="P16" s="1" t="s">
        <v>101</v>
      </c>
    </row>
  </sheetData>
  <mergeCells count="2">
    <mergeCell ref="A2:H2"/>
    <mergeCell ref="A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xr:uid="{00000000-0002-0000-1100-000000000000}">
          <x14:formula1>
            <xm:f>Referensi!$A$1:$A$6</xm:f>
          </x14:formula1>
          <xm:sqref>M5:M9</xm:sqref>
        </x14:dataValidation>
        <x14:dataValidation type="list" allowBlank="1" xr:uid="{00000000-0002-0000-1100-000001000000}">
          <x14:formula1>
            <xm:f>Referensi!$B$1:$B$3</xm:f>
          </x14:formula1>
          <xm:sqref>H5:H9</xm:sqref>
        </x14:dataValidation>
        <x14:dataValidation type="list" allowBlank="1" xr:uid="{00000000-0002-0000-1100-000002000000}">
          <x14:formula1>
            <xm:f>Referensi!$C$1:$C$4</xm:f>
          </x14:formula1>
          <xm:sqref>F5:F9</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16"/>
  <sheetViews>
    <sheetView showGridLines="0" workbookViewId="0"/>
  </sheetViews>
  <sheetFormatPr defaultRowHeight="14.4" x14ac:dyDescent="0.3"/>
  <cols>
    <col min="1" max="1" width="14" customWidth="1"/>
    <col min="2" max="2" width="16" customWidth="1"/>
    <col min="3" max="3" width="24" customWidth="1"/>
    <col min="4" max="4" width="22" customWidth="1"/>
    <col min="5" max="5" width="34" customWidth="1"/>
    <col min="6" max="6" width="14" customWidth="1"/>
    <col min="7" max="7" width="20" customWidth="1"/>
    <col min="8" max="8" width="10" customWidth="1"/>
    <col min="9" max="9" width="28" customWidth="1"/>
    <col min="10" max="10" width="46" customWidth="1"/>
    <col min="11" max="11" width="42" customWidth="1"/>
    <col min="12" max="12" width="20" customWidth="1"/>
    <col min="13" max="13" width="14" customWidth="1"/>
    <col min="14" max="15" width="26" customWidth="1"/>
    <col min="16" max="16" width="34" customWidth="1"/>
  </cols>
  <sheetData>
    <row r="1" spans="1:16" ht="24" customHeight="1" x14ac:dyDescent="0.3">
      <c r="A1" s="17" t="s">
        <v>2266</v>
      </c>
      <c r="B1" s="16"/>
      <c r="C1" s="16"/>
      <c r="D1" s="16"/>
      <c r="E1" s="16"/>
      <c r="F1" s="16"/>
      <c r="G1" s="16"/>
      <c r="H1" s="16"/>
    </row>
    <row r="2" spans="1:16" ht="36" customHeight="1" x14ac:dyDescent="0.3">
      <c r="A2" s="15" t="s">
        <v>34</v>
      </c>
      <c r="B2" s="16"/>
      <c r="C2" s="16"/>
      <c r="D2" s="16"/>
      <c r="E2" s="16"/>
      <c r="F2" s="16"/>
      <c r="G2" s="16"/>
      <c r="H2" s="16"/>
    </row>
    <row r="4" spans="1:16" x14ac:dyDescent="0.3">
      <c r="A4" s="5" t="s">
        <v>35</v>
      </c>
      <c r="B4" s="5" t="s">
        <v>36</v>
      </c>
      <c r="C4" s="5" t="s">
        <v>37</v>
      </c>
      <c r="D4" s="5" t="s">
        <v>38</v>
      </c>
      <c r="E4" s="5" t="s">
        <v>39</v>
      </c>
      <c r="F4" s="5" t="s">
        <v>40</v>
      </c>
      <c r="G4" s="5" t="s">
        <v>41</v>
      </c>
      <c r="H4" s="5" t="s">
        <v>42</v>
      </c>
      <c r="I4" s="5" t="s">
        <v>43</v>
      </c>
      <c r="J4" s="5" t="s">
        <v>44</v>
      </c>
      <c r="K4" s="5" t="s">
        <v>45</v>
      </c>
      <c r="L4" s="5" t="s">
        <v>46</v>
      </c>
      <c r="M4" s="5" t="s">
        <v>17</v>
      </c>
      <c r="N4" s="5" t="s">
        <v>47</v>
      </c>
      <c r="O4" s="5" t="s">
        <v>20</v>
      </c>
      <c r="P4" s="5" t="s">
        <v>48</v>
      </c>
    </row>
    <row r="5" spans="1:16" ht="57.6" x14ac:dyDescent="0.3">
      <c r="A5" s="1" t="s">
        <v>986</v>
      </c>
      <c r="B5" s="1" t="s">
        <v>577</v>
      </c>
      <c r="C5" s="1" t="s">
        <v>987</v>
      </c>
      <c r="D5" s="1" t="s">
        <v>988</v>
      </c>
      <c r="E5" s="1" t="s">
        <v>989</v>
      </c>
      <c r="F5" s="1" t="s">
        <v>25</v>
      </c>
      <c r="G5" s="1" t="s">
        <v>382</v>
      </c>
      <c r="H5" s="1" t="s">
        <v>24</v>
      </c>
      <c r="I5" s="1" t="s">
        <v>990</v>
      </c>
      <c r="J5" s="1" t="s">
        <v>991</v>
      </c>
      <c r="K5" s="1" t="s">
        <v>992</v>
      </c>
      <c r="L5" s="1" t="s">
        <v>59</v>
      </c>
      <c r="M5" s="8" t="s">
        <v>23</v>
      </c>
      <c r="N5" s="8" t="s">
        <v>59</v>
      </c>
      <c r="O5" s="1" t="s">
        <v>59</v>
      </c>
      <c r="P5" s="1" t="s">
        <v>81</v>
      </c>
    </row>
    <row r="6" spans="1:16" ht="72" x14ac:dyDescent="0.3">
      <c r="A6" s="1" t="s">
        <v>993</v>
      </c>
      <c r="B6" s="1" t="s">
        <v>577</v>
      </c>
      <c r="C6" s="1" t="s">
        <v>987</v>
      </c>
      <c r="D6" s="1" t="s">
        <v>994</v>
      </c>
      <c r="E6" s="1" t="s">
        <v>995</v>
      </c>
      <c r="F6" s="1" t="s">
        <v>25</v>
      </c>
      <c r="G6" s="1" t="s">
        <v>382</v>
      </c>
      <c r="H6" s="1" t="s">
        <v>24</v>
      </c>
      <c r="I6" s="1" t="s">
        <v>996</v>
      </c>
      <c r="J6" s="1" t="s">
        <v>997</v>
      </c>
      <c r="K6" s="1" t="s">
        <v>998</v>
      </c>
      <c r="L6" s="1" t="s">
        <v>59</v>
      </c>
      <c r="M6" s="8" t="s">
        <v>23</v>
      </c>
      <c r="N6" s="8" t="s">
        <v>59</v>
      </c>
      <c r="O6" s="1" t="s">
        <v>59</v>
      </c>
      <c r="P6" s="1" t="s">
        <v>88</v>
      </c>
    </row>
    <row r="7" spans="1:16" ht="57.6" x14ac:dyDescent="0.3">
      <c r="A7" s="1" t="s">
        <v>999</v>
      </c>
      <c r="B7" s="1" t="s">
        <v>577</v>
      </c>
      <c r="C7" s="1" t="s">
        <v>987</v>
      </c>
      <c r="D7" s="1" t="s">
        <v>1000</v>
      </c>
      <c r="E7" s="1" t="s">
        <v>1001</v>
      </c>
      <c r="F7" s="1" t="s">
        <v>25</v>
      </c>
      <c r="G7" s="1" t="s">
        <v>382</v>
      </c>
      <c r="H7" s="1" t="s">
        <v>24</v>
      </c>
      <c r="I7" s="1" t="s">
        <v>1002</v>
      </c>
      <c r="J7" s="1" t="s">
        <v>1003</v>
      </c>
      <c r="K7" s="1" t="s">
        <v>1004</v>
      </c>
      <c r="L7" s="1" t="s">
        <v>59</v>
      </c>
      <c r="M7" s="8" t="s">
        <v>23</v>
      </c>
      <c r="N7" s="8" t="s">
        <v>59</v>
      </c>
      <c r="O7" s="1" t="s">
        <v>59</v>
      </c>
      <c r="P7" s="1" t="s">
        <v>88</v>
      </c>
    </row>
    <row r="8" spans="1:16" ht="86.4" x14ac:dyDescent="0.3">
      <c r="A8" s="1" t="s">
        <v>1005</v>
      </c>
      <c r="B8" s="1" t="s">
        <v>577</v>
      </c>
      <c r="C8" s="1" t="s">
        <v>987</v>
      </c>
      <c r="D8" s="1" t="s">
        <v>1006</v>
      </c>
      <c r="E8" s="1" t="s">
        <v>1007</v>
      </c>
      <c r="F8" s="1" t="s">
        <v>25</v>
      </c>
      <c r="G8" s="1" t="s">
        <v>382</v>
      </c>
      <c r="H8" s="1" t="s">
        <v>24</v>
      </c>
      <c r="I8" s="1" t="s">
        <v>1002</v>
      </c>
      <c r="J8" s="1" t="s">
        <v>1008</v>
      </c>
      <c r="K8" s="1" t="s">
        <v>1009</v>
      </c>
      <c r="L8" s="1" t="s">
        <v>59</v>
      </c>
      <c r="M8" s="8" t="s">
        <v>23</v>
      </c>
      <c r="N8" s="8" t="s">
        <v>59</v>
      </c>
      <c r="O8" s="1" t="s">
        <v>59</v>
      </c>
      <c r="P8" s="1" t="s">
        <v>88</v>
      </c>
    </row>
    <row r="9" spans="1:16" ht="72" x14ac:dyDescent="0.3">
      <c r="A9" s="1" t="s">
        <v>1010</v>
      </c>
      <c r="B9" s="1" t="s">
        <v>577</v>
      </c>
      <c r="C9" s="1" t="s">
        <v>987</v>
      </c>
      <c r="D9" s="1" t="s">
        <v>1011</v>
      </c>
      <c r="E9" s="1" t="s">
        <v>1012</v>
      </c>
      <c r="F9" s="1" t="s">
        <v>31</v>
      </c>
      <c r="G9" s="1" t="s">
        <v>382</v>
      </c>
      <c r="H9" s="1" t="s">
        <v>27</v>
      </c>
      <c r="I9" s="1" t="s">
        <v>1013</v>
      </c>
      <c r="J9" s="1" t="s">
        <v>1014</v>
      </c>
      <c r="K9" s="1" t="s">
        <v>1015</v>
      </c>
      <c r="L9" s="1" t="s">
        <v>59</v>
      </c>
      <c r="M9" s="8" t="s">
        <v>23</v>
      </c>
      <c r="N9" s="8" t="s">
        <v>59</v>
      </c>
      <c r="O9" s="1" t="s">
        <v>59</v>
      </c>
      <c r="P9" s="1" t="s">
        <v>88</v>
      </c>
    </row>
    <row r="10" spans="1:16" ht="57.6" x14ac:dyDescent="0.3">
      <c r="A10" s="1" t="s">
        <v>1016</v>
      </c>
      <c r="B10" s="1" t="s">
        <v>577</v>
      </c>
      <c r="C10" s="1" t="s">
        <v>987</v>
      </c>
      <c r="D10" s="1" t="s">
        <v>1017</v>
      </c>
      <c r="E10" s="1" t="s">
        <v>1018</v>
      </c>
      <c r="F10" s="1" t="s">
        <v>25</v>
      </c>
      <c r="G10" s="1" t="s">
        <v>977</v>
      </c>
      <c r="H10" s="1" t="s">
        <v>27</v>
      </c>
      <c r="I10" s="1" t="s">
        <v>1019</v>
      </c>
      <c r="J10" s="1" t="s">
        <v>1020</v>
      </c>
      <c r="K10" s="1" t="s">
        <v>1021</v>
      </c>
      <c r="L10" s="1" t="s">
        <v>59</v>
      </c>
      <c r="M10" s="8" t="s">
        <v>23</v>
      </c>
      <c r="N10" s="8" t="s">
        <v>59</v>
      </c>
      <c r="O10" s="1" t="s">
        <v>59</v>
      </c>
      <c r="P10" s="1" t="s">
        <v>263</v>
      </c>
    </row>
    <row r="11" spans="1:16" ht="43.2" x14ac:dyDescent="0.3">
      <c r="A11" s="1" t="s">
        <v>1022</v>
      </c>
      <c r="B11" s="1" t="s">
        <v>577</v>
      </c>
      <c r="C11" s="1" t="s">
        <v>987</v>
      </c>
      <c r="D11" s="1" t="s">
        <v>1023</v>
      </c>
      <c r="E11" s="1" t="s">
        <v>1024</v>
      </c>
      <c r="F11" s="1" t="s">
        <v>28</v>
      </c>
      <c r="G11" s="1" t="s">
        <v>180</v>
      </c>
      <c r="H11" s="1" t="s">
        <v>27</v>
      </c>
      <c r="I11" s="1" t="s">
        <v>1025</v>
      </c>
      <c r="J11" s="1" t="s">
        <v>1026</v>
      </c>
      <c r="K11" s="1" t="s">
        <v>1027</v>
      </c>
      <c r="L11" s="1" t="s">
        <v>59</v>
      </c>
      <c r="M11" s="8" t="s">
        <v>23</v>
      </c>
      <c r="N11" s="8" t="s">
        <v>59</v>
      </c>
      <c r="O11" s="1" t="s">
        <v>59</v>
      </c>
      <c r="P11" s="1" t="s">
        <v>88</v>
      </c>
    </row>
    <row r="12" spans="1:16" ht="57.6" x14ac:dyDescent="0.3">
      <c r="A12" s="1" t="s">
        <v>1028</v>
      </c>
      <c r="B12" s="1" t="s">
        <v>577</v>
      </c>
      <c r="C12" s="1" t="s">
        <v>987</v>
      </c>
      <c r="D12" s="1" t="s">
        <v>1029</v>
      </c>
      <c r="E12" s="1" t="s">
        <v>1030</v>
      </c>
      <c r="F12" s="1" t="s">
        <v>25</v>
      </c>
      <c r="G12" s="1" t="s">
        <v>180</v>
      </c>
      <c r="H12" s="1" t="s">
        <v>24</v>
      </c>
      <c r="I12" s="1" t="s">
        <v>1031</v>
      </c>
      <c r="J12" s="1" t="s">
        <v>1032</v>
      </c>
      <c r="K12" s="1" t="s">
        <v>1033</v>
      </c>
      <c r="L12" s="1" t="s">
        <v>59</v>
      </c>
      <c r="M12" s="8" t="s">
        <v>23</v>
      </c>
      <c r="N12" s="8" t="s">
        <v>59</v>
      </c>
      <c r="O12" s="1" t="s">
        <v>59</v>
      </c>
      <c r="P12" s="1" t="s">
        <v>60</v>
      </c>
    </row>
    <row r="13" spans="1:16" ht="57.6" x14ac:dyDescent="0.3">
      <c r="A13" s="1" t="s">
        <v>1034</v>
      </c>
      <c r="B13" s="1" t="s">
        <v>577</v>
      </c>
      <c r="C13" s="1" t="s">
        <v>987</v>
      </c>
      <c r="D13" s="1" t="s">
        <v>1035</v>
      </c>
      <c r="E13" s="1" t="s">
        <v>1036</v>
      </c>
      <c r="F13" s="1" t="s">
        <v>28</v>
      </c>
      <c r="G13" s="1" t="s">
        <v>180</v>
      </c>
      <c r="H13" s="1" t="s">
        <v>27</v>
      </c>
      <c r="I13" s="1" t="s">
        <v>1037</v>
      </c>
      <c r="J13" s="1" t="s">
        <v>1038</v>
      </c>
      <c r="K13" s="1" t="s">
        <v>1039</v>
      </c>
      <c r="L13" s="1" t="s">
        <v>59</v>
      </c>
      <c r="M13" s="8" t="s">
        <v>23</v>
      </c>
      <c r="N13" s="8" t="s">
        <v>59</v>
      </c>
      <c r="O13" s="1" t="s">
        <v>59</v>
      </c>
      <c r="P13" s="1" t="s">
        <v>88</v>
      </c>
    </row>
    <row r="14" spans="1:16" ht="57.6" x14ac:dyDescent="0.3">
      <c r="A14" s="1" t="s">
        <v>1040</v>
      </c>
      <c r="B14" s="1" t="s">
        <v>577</v>
      </c>
      <c r="C14" s="1" t="s">
        <v>987</v>
      </c>
      <c r="D14" s="1" t="s">
        <v>1041</v>
      </c>
      <c r="E14" s="1" t="s">
        <v>1042</v>
      </c>
      <c r="F14" s="1" t="s">
        <v>28</v>
      </c>
      <c r="G14" s="1" t="s">
        <v>180</v>
      </c>
      <c r="H14" s="1" t="s">
        <v>24</v>
      </c>
      <c r="I14" s="1" t="s">
        <v>1043</v>
      </c>
      <c r="J14" s="1" t="s">
        <v>1044</v>
      </c>
      <c r="K14" s="1" t="s">
        <v>1045</v>
      </c>
      <c r="L14" s="1" t="s">
        <v>59</v>
      </c>
      <c r="M14" s="8" t="s">
        <v>23</v>
      </c>
      <c r="N14" s="8" t="s">
        <v>59</v>
      </c>
      <c r="O14" s="1" t="s">
        <v>59</v>
      </c>
      <c r="P14" s="1" t="s">
        <v>81</v>
      </c>
    </row>
    <row r="15" spans="1:16" ht="43.2" x14ac:dyDescent="0.3">
      <c r="A15" s="1" t="s">
        <v>1046</v>
      </c>
      <c r="B15" s="1" t="s">
        <v>577</v>
      </c>
      <c r="C15" s="1" t="s">
        <v>987</v>
      </c>
      <c r="D15" s="1" t="s">
        <v>450</v>
      </c>
      <c r="E15" s="1" t="s">
        <v>1047</v>
      </c>
      <c r="F15" s="1" t="s">
        <v>30</v>
      </c>
      <c r="G15" s="1" t="s">
        <v>186</v>
      </c>
      <c r="H15" s="1" t="s">
        <v>27</v>
      </c>
      <c r="I15" s="1" t="s">
        <v>1048</v>
      </c>
      <c r="J15" s="1" t="s">
        <v>1049</v>
      </c>
      <c r="K15" s="1" t="s">
        <v>1050</v>
      </c>
      <c r="L15" s="1" t="s">
        <v>59</v>
      </c>
      <c r="M15" s="8" t="s">
        <v>23</v>
      </c>
      <c r="N15" s="8" t="s">
        <v>59</v>
      </c>
      <c r="O15" s="1" t="s">
        <v>59</v>
      </c>
      <c r="P15" s="1" t="s">
        <v>101</v>
      </c>
    </row>
    <row r="16" spans="1:16" ht="43.2" x14ac:dyDescent="0.3">
      <c r="A16" s="1" t="s">
        <v>1051</v>
      </c>
      <c r="B16" s="1" t="s">
        <v>577</v>
      </c>
      <c r="C16" s="1" t="s">
        <v>987</v>
      </c>
      <c r="D16" s="1" t="s">
        <v>387</v>
      </c>
      <c r="E16" s="1" t="s">
        <v>1052</v>
      </c>
      <c r="F16" s="1" t="s">
        <v>30</v>
      </c>
      <c r="G16" s="1" t="s">
        <v>173</v>
      </c>
      <c r="H16" s="1" t="s">
        <v>24</v>
      </c>
      <c r="I16" s="1" t="s">
        <v>1053</v>
      </c>
      <c r="J16" s="1" t="s">
        <v>1054</v>
      </c>
      <c r="K16" s="1" t="s">
        <v>1055</v>
      </c>
      <c r="L16" s="1" t="s">
        <v>59</v>
      </c>
      <c r="M16" s="8" t="s">
        <v>23</v>
      </c>
      <c r="N16" s="8" t="s">
        <v>59</v>
      </c>
      <c r="O16" s="1" t="s">
        <v>59</v>
      </c>
      <c r="P16" s="1" t="s">
        <v>101</v>
      </c>
    </row>
  </sheetData>
  <mergeCells count="2">
    <mergeCell ref="A2:H2"/>
    <mergeCell ref="A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xr:uid="{00000000-0002-0000-1200-000000000000}">
          <x14:formula1>
            <xm:f>Referensi!$A$1:$A$6</xm:f>
          </x14:formula1>
          <xm:sqref>M5:M9</xm:sqref>
        </x14:dataValidation>
        <x14:dataValidation type="list" allowBlank="1" xr:uid="{00000000-0002-0000-1200-000001000000}">
          <x14:formula1>
            <xm:f>Referensi!$B$1:$B$3</xm:f>
          </x14:formula1>
          <xm:sqref>H5:H9</xm:sqref>
        </x14:dataValidation>
        <x14:dataValidation type="list" allowBlank="1" xr:uid="{00000000-0002-0000-1200-000002000000}">
          <x14:formula1>
            <xm:f>Referensi!$C$1:$C$4</xm:f>
          </x14:formula1>
          <xm:sqref>F5:F9</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16"/>
  <sheetViews>
    <sheetView showGridLines="0" workbookViewId="0"/>
  </sheetViews>
  <sheetFormatPr defaultRowHeight="14.4" x14ac:dyDescent="0.3"/>
  <cols>
    <col min="1" max="1" width="14" customWidth="1"/>
    <col min="2" max="2" width="16" customWidth="1"/>
    <col min="3" max="3" width="24" customWidth="1"/>
    <col min="4" max="4" width="22" customWidth="1"/>
    <col min="5" max="5" width="34" customWidth="1"/>
    <col min="6" max="6" width="14" customWidth="1"/>
    <col min="7" max="7" width="20" customWidth="1"/>
    <col min="8" max="8" width="10" customWidth="1"/>
    <col min="9" max="9" width="28" customWidth="1"/>
    <col min="10" max="10" width="46" customWidth="1"/>
    <col min="11" max="11" width="42" customWidth="1"/>
    <col min="12" max="12" width="20" customWidth="1"/>
    <col min="13" max="13" width="14" customWidth="1"/>
    <col min="14" max="15" width="26" customWidth="1"/>
    <col min="16" max="16" width="34" customWidth="1"/>
  </cols>
  <sheetData>
    <row r="1" spans="1:16" ht="24" customHeight="1" x14ac:dyDescent="0.3">
      <c r="A1" s="17" t="s">
        <v>2267</v>
      </c>
      <c r="B1" s="16"/>
      <c r="C1" s="16"/>
      <c r="D1" s="16"/>
      <c r="E1" s="16"/>
      <c r="F1" s="16"/>
      <c r="G1" s="16"/>
      <c r="H1" s="16"/>
    </row>
    <row r="2" spans="1:16" ht="36" customHeight="1" x14ac:dyDescent="0.3">
      <c r="A2" s="15" t="s">
        <v>34</v>
      </c>
      <c r="B2" s="16"/>
      <c r="C2" s="16"/>
      <c r="D2" s="16"/>
      <c r="E2" s="16"/>
      <c r="F2" s="16"/>
      <c r="G2" s="16"/>
      <c r="H2" s="16"/>
    </row>
    <row r="4" spans="1:16" x14ac:dyDescent="0.3">
      <c r="A4" s="5" t="s">
        <v>35</v>
      </c>
      <c r="B4" s="5" t="s">
        <v>36</v>
      </c>
      <c r="C4" s="5" t="s">
        <v>37</v>
      </c>
      <c r="D4" s="5" t="s">
        <v>38</v>
      </c>
      <c r="E4" s="5" t="s">
        <v>39</v>
      </c>
      <c r="F4" s="5" t="s">
        <v>40</v>
      </c>
      <c r="G4" s="5" t="s">
        <v>41</v>
      </c>
      <c r="H4" s="5" t="s">
        <v>42</v>
      </c>
      <c r="I4" s="5" t="s">
        <v>43</v>
      </c>
      <c r="J4" s="5" t="s">
        <v>44</v>
      </c>
      <c r="K4" s="5" t="s">
        <v>45</v>
      </c>
      <c r="L4" s="5" t="s">
        <v>46</v>
      </c>
      <c r="M4" s="5" t="s">
        <v>17</v>
      </c>
      <c r="N4" s="5" t="s">
        <v>47</v>
      </c>
      <c r="O4" s="5" t="s">
        <v>20</v>
      </c>
      <c r="P4" s="5" t="s">
        <v>48</v>
      </c>
    </row>
    <row r="5" spans="1:16" ht="57.6" x14ac:dyDescent="0.3">
      <c r="A5" s="1" t="s">
        <v>1056</v>
      </c>
      <c r="B5" s="1" t="s">
        <v>577</v>
      </c>
      <c r="C5" s="1" t="s">
        <v>1057</v>
      </c>
      <c r="D5" s="1" t="s">
        <v>1058</v>
      </c>
      <c r="E5" s="1" t="s">
        <v>1059</v>
      </c>
      <c r="F5" s="1" t="s">
        <v>25</v>
      </c>
      <c r="G5" s="1" t="s">
        <v>180</v>
      </c>
      <c r="H5" s="1" t="s">
        <v>24</v>
      </c>
      <c r="I5" s="1" t="s">
        <v>1060</v>
      </c>
      <c r="J5" s="1" t="s">
        <v>1061</v>
      </c>
      <c r="K5" s="1" t="s">
        <v>1062</v>
      </c>
      <c r="L5" s="1" t="s">
        <v>59</v>
      </c>
      <c r="M5" s="8" t="s">
        <v>23</v>
      </c>
      <c r="N5" s="8" t="s">
        <v>59</v>
      </c>
      <c r="O5" s="1" t="s">
        <v>59</v>
      </c>
      <c r="P5" s="1" t="s">
        <v>88</v>
      </c>
    </row>
    <row r="6" spans="1:16" ht="43.2" x14ac:dyDescent="0.3">
      <c r="A6" s="1" t="s">
        <v>1063</v>
      </c>
      <c r="B6" s="1" t="s">
        <v>577</v>
      </c>
      <c r="C6" s="1" t="s">
        <v>1057</v>
      </c>
      <c r="D6" s="1" t="s">
        <v>1064</v>
      </c>
      <c r="E6" s="1" t="s">
        <v>1065</v>
      </c>
      <c r="F6" s="1" t="s">
        <v>25</v>
      </c>
      <c r="G6" s="1" t="s">
        <v>180</v>
      </c>
      <c r="H6" s="1" t="s">
        <v>27</v>
      </c>
      <c r="I6" s="1" t="s">
        <v>1066</v>
      </c>
      <c r="J6" s="1" t="s">
        <v>1067</v>
      </c>
      <c r="K6" s="1" t="s">
        <v>1068</v>
      </c>
      <c r="L6" s="1" t="s">
        <v>59</v>
      </c>
      <c r="M6" s="8" t="s">
        <v>23</v>
      </c>
      <c r="N6" s="8" t="s">
        <v>59</v>
      </c>
      <c r="O6" s="1" t="s">
        <v>59</v>
      </c>
      <c r="P6" s="1" t="s">
        <v>88</v>
      </c>
    </row>
    <row r="7" spans="1:16" ht="57.6" x14ac:dyDescent="0.3">
      <c r="A7" s="1" t="s">
        <v>1069</v>
      </c>
      <c r="B7" s="1" t="s">
        <v>577</v>
      </c>
      <c r="C7" s="1" t="s">
        <v>1057</v>
      </c>
      <c r="D7" s="1" t="s">
        <v>1070</v>
      </c>
      <c r="E7" s="1" t="s">
        <v>1071</v>
      </c>
      <c r="F7" s="1" t="s">
        <v>25</v>
      </c>
      <c r="G7" s="1" t="s">
        <v>180</v>
      </c>
      <c r="H7" s="1" t="s">
        <v>24</v>
      </c>
      <c r="I7" s="1" t="s">
        <v>1066</v>
      </c>
      <c r="J7" s="1" t="s">
        <v>1072</v>
      </c>
      <c r="K7" s="1" t="s">
        <v>1073</v>
      </c>
      <c r="L7" s="1" t="s">
        <v>59</v>
      </c>
      <c r="M7" s="8" t="s">
        <v>23</v>
      </c>
      <c r="N7" s="8" t="s">
        <v>59</v>
      </c>
      <c r="O7" s="1" t="s">
        <v>59</v>
      </c>
      <c r="P7" s="1" t="s">
        <v>88</v>
      </c>
    </row>
    <row r="8" spans="1:16" ht="57.6" x14ac:dyDescent="0.3">
      <c r="A8" s="1" t="s">
        <v>1074</v>
      </c>
      <c r="B8" s="1" t="s">
        <v>577</v>
      </c>
      <c r="C8" s="1" t="s">
        <v>1057</v>
      </c>
      <c r="D8" s="1" t="s">
        <v>1075</v>
      </c>
      <c r="E8" s="1" t="s">
        <v>1076</v>
      </c>
      <c r="F8" s="1" t="s">
        <v>25</v>
      </c>
      <c r="G8" s="1" t="s">
        <v>180</v>
      </c>
      <c r="H8" s="1" t="s">
        <v>24</v>
      </c>
      <c r="I8" s="1" t="s">
        <v>1066</v>
      </c>
      <c r="J8" s="1" t="s">
        <v>1077</v>
      </c>
      <c r="K8" s="1" t="s">
        <v>1078</v>
      </c>
      <c r="L8" s="1" t="s">
        <v>59</v>
      </c>
      <c r="M8" s="8" t="s">
        <v>23</v>
      </c>
      <c r="N8" s="8" t="s">
        <v>59</v>
      </c>
      <c r="O8" s="1" t="s">
        <v>59</v>
      </c>
      <c r="P8" s="1" t="s">
        <v>88</v>
      </c>
    </row>
    <row r="9" spans="1:16" ht="57.6" x14ac:dyDescent="0.3">
      <c r="A9" s="1" t="s">
        <v>1079</v>
      </c>
      <c r="B9" s="1" t="s">
        <v>577</v>
      </c>
      <c r="C9" s="1" t="s">
        <v>1057</v>
      </c>
      <c r="D9" s="1" t="s">
        <v>1080</v>
      </c>
      <c r="E9" s="1" t="s">
        <v>1081</v>
      </c>
      <c r="F9" s="1" t="s">
        <v>31</v>
      </c>
      <c r="G9" s="1" t="s">
        <v>180</v>
      </c>
      <c r="H9" s="1" t="s">
        <v>27</v>
      </c>
      <c r="I9" s="1" t="s">
        <v>1082</v>
      </c>
      <c r="J9" s="1" t="s">
        <v>1083</v>
      </c>
      <c r="K9" s="1" t="s">
        <v>1084</v>
      </c>
      <c r="L9" s="1" t="s">
        <v>59</v>
      </c>
      <c r="M9" s="8" t="s">
        <v>23</v>
      </c>
      <c r="N9" s="8" t="s">
        <v>59</v>
      </c>
      <c r="O9" s="1" t="s">
        <v>59</v>
      </c>
      <c r="P9" s="1" t="s">
        <v>88</v>
      </c>
    </row>
    <row r="10" spans="1:16" ht="43.2" x14ac:dyDescent="0.3">
      <c r="A10" s="1" t="s">
        <v>1085</v>
      </c>
      <c r="B10" s="1" t="s">
        <v>577</v>
      </c>
      <c r="C10" s="1" t="s">
        <v>1057</v>
      </c>
      <c r="D10" s="1" t="s">
        <v>1086</v>
      </c>
      <c r="E10" s="1" t="s">
        <v>1087</v>
      </c>
      <c r="F10" s="1" t="s">
        <v>25</v>
      </c>
      <c r="G10" s="1" t="s">
        <v>977</v>
      </c>
      <c r="H10" s="1" t="s">
        <v>27</v>
      </c>
      <c r="I10" s="1" t="s">
        <v>1088</v>
      </c>
      <c r="J10" s="1" t="s">
        <v>1089</v>
      </c>
      <c r="K10" s="1" t="s">
        <v>1090</v>
      </c>
      <c r="L10" s="1" t="s">
        <v>59</v>
      </c>
      <c r="M10" s="8" t="s">
        <v>23</v>
      </c>
      <c r="N10" s="8" t="s">
        <v>59</v>
      </c>
      <c r="O10" s="1" t="s">
        <v>59</v>
      </c>
      <c r="P10" s="1" t="s">
        <v>263</v>
      </c>
    </row>
    <row r="11" spans="1:16" ht="57.6" x14ac:dyDescent="0.3">
      <c r="A11" s="1" t="s">
        <v>1091</v>
      </c>
      <c r="B11" s="1" t="s">
        <v>577</v>
      </c>
      <c r="C11" s="1" t="s">
        <v>1057</v>
      </c>
      <c r="D11" s="1" t="s">
        <v>1092</v>
      </c>
      <c r="E11" s="1" t="s">
        <v>1093</v>
      </c>
      <c r="F11" s="1" t="s">
        <v>25</v>
      </c>
      <c r="G11" s="1" t="s">
        <v>180</v>
      </c>
      <c r="H11" s="1" t="s">
        <v>24</v>
      </c>
      <c r="I11" s="1" t="s">
        <v>1094</v>
      </c>
      <c r="J11" s="1" t="s">
        <v>1095</v>
      </c>
      <c r="K11" s="1" t="s">
        <v>1096</v>
      </c>
      <c r="L11" s="1" t="s">
        <v>59</v>
      </c>
      <c r="M11" s="8" t="s">
        <v>23</v>
      </c>
      <c r="N11" s="8" t="s">
        <v>59</v>
      </c>
      <c r="O11" s="1" t="s">
        <v>59</v>
      </c>
      <c r="P11" s="1" t="s">
        <v>60</v>
      </c>
    </row>
    <row r="12" spans="1:16" ht="43.2" x14ac:dyDescent="0.3">
      <c r="A12" s="1" t="s">
        <v>1097</v>
      </c>
      <c r="B12" s="1" t="s">
        <v>577</v>
      </c>
      <c r="C12" s="1" t="s">
        <v>1057</v>
      </c>
      <c r="D12" s="1" t="s">
        <v>1098</v>
      </c>
      <c r="E12" s="1" t="s">
        <v>1099</v>
      </c>
      <c r="F12" s="1" t="s">
        <v>28</v>
      </c>
      <c r="G12" s="1" t="s">
        <v>180</v>
      </c>
      <c r="H12" s="1" t="s">
        <v>27</v>
      </c>
      <c r="I12" s="1" t="s">
        <v>1100</v>
      </c>
      <c r="J12" s="1" t="s">
        <v>1101</v>
      </c>
      <c r="K12" s="1" t="s">
        <v>1102</v>
      </c>
      <c r="L12" s="1" t="s">
        <v>59</v>
      </c>
      <c r="M12" s="8" t="s">
        <v>23</v>
      </c>
      <c r="N12" s="8" t="s">
        <v>59</v>
      </c>
      <c r="O12" s="1" t="s">
        <v>59</v>
      </c>
      <c r="P12" s="1" t="s">
        <v>88</v>
      </c>
    </row>
    <row r="13" spans="1:16" ht="57.6" x14ac:dyDescent="0.3">
      <c r="A13" s="1" t="s">
        <v>1103</v>
      </c>
      <c r="B13" s="1" t="s">
        <v>577</v>
      </c>
      <c r="C13" s="1" t="s">
        <v>1057</v>
      </c>
      <c r="D13" s="1" t="s">
        <v>1104</v>
      </c>
      <c r="E13" s="1" t="s">
        <v>1105</v>
      </c>
      <c r="F13" s="1" t="s">
        <v>25</v>
      </c>
      <c r="G13" s="1" t="s">
        <v>180</v>
      </c>
      <c r="H13" s="1" t="s">
        <v>24</v>
      </c>
      <c r="I13" s="1" t="s">
        <v>1106</v>
      </c>
      <c r="J13" s="1" t="s">
        <v>1107</v>
      </c>
      <c r="K13" s="1" t="s">
        <v>1108</v>
      </c>
      <c r="L13" s="1" t="s">
        <v>59</v>
      </c>
      <c r="M13" s="8" t="s">
        <v>23</v>
      </c>
      <c r="N13" s="8" t="s">
        <v>59</v>
      </c>
      <c r="O13" s="1" t="s">
        <v>59</v>
      </c>
      <c r="P13" s="1" t="s">
        <v>81</v>
      </c>
    </row>
    <row r="14" spans="1:16" ht="43.2" x14ac:dyDescent="0.3">
      <c r="A14" s="1" t="s">
        <v>1109</v>
      </c>
      <c r="B14" s="1" t="s">
        <v>577</v>
      </c>
      <c r="C14" s="1" t="s">
        <v>1057</v>
      </c>
      <c r="D14" s="1" t="s">
        <v>1041</v>
      </c>
      <c r="E14" s="1" t="s">
        <v>1110</v>
      </c>
      <c r="F14" s="1" t="s">
        <v>28</v>
      </c>
      <c r="G14" s="1" t="s">
        <v>180</v>
      </c>
      <c r="H14" s="1" t="s">
        <v>27</v>
      </c>
      <c r="I14" s="1" t="s">
        <v>1111</v>
      </c>
      <c r="J14" s="1" t="s">
        <v>1112</v>
      </c>
      <c r="K14" s="1" t="s">
        <v>1113</v>
      </c>
      <c r="L14" s="1" t="s">
        <v>59</v>
      </c>
      <c r="M14" s="8" t="s">
        <v>23</v>
      </c>
      <c r="N14" s="8" t="s">
        <v>59</v>
      </c>
      <c r="O14" s="1" t="s">
        <v>59</v>
      </c>
      <c r="P14" s="1" t="s">
        <v>88</v>
      </c>
    </row>
    <row r="15" spans="1:16" ht="43.2" x14ac:dyDescent="0.3">
      <c r="A15" s="1" t="s">
        <v>1114</v>
      </c>
      <c r="B15" s="1" t="s">
        <v>577</v>
      </c>
      <c r="C15" s="1" t="s">
        <v>1057</v>
      </c>
      <c r="D15" s="1" t="s">
        <v>450</v>
      </c>
      <c r="E15" s="1" t="s">
        <v>1115</v>
      </c>
      <c r="F15" s="1" t="s">
        <v>30</v>
      </c>
      <c r="G15" s="1" t="s">
        <v>186</v>
      </c>
      <c r="H15" s="1" t="s">
        <v>27</v>
      </c>
      <c r="I15" s="1" t="s">
        <v>1116</v>
      </c>
      <c r="J15" s="1" t="s">
        <v>1117</v>
      </c>
      <c r="K15" s="1" t="s">
        <v>1118</v>
      </c>
      <c r="L15" s="1" t="s">
        <v>59</v>
      </c>
      <c r="M15" s="8" t="s">
        <v>23</v>
      </c>
      <c r="N15" s="8" t="s">
        <v>59</v>
      </c>
      <c r="O15" s="1" t="s">
        <v>59</v>
      </c>
      <c r="P15" s="1" t="s">
        <v>101</v>
      </c>
    </row>
    <row r="16" spans="1:16" ht="43.2" x14ac:dyDescent="0.3">
      <c r="A16" s="1" t="s">
        <v>1119</v>
      </c>
      <c r="B16" s="1" t="s">
        <v>577</v>
      </c>
      <c r="C16" s="1" t="s">
        <v>1057</v>
      </c>
      <c r="D16" s="1" t="s">
        <v>387</v>
      </c>
      <c r="E16" s="1" t="s">
        <v>1120</v>
      </c>
      <c r="F16" s="1" t="s">
        <v>30</v>
      </c>
      <c r="G16" s="1" t="s">
        <v>173</v>
      </c>
      <c r="H16" s="1" t="s">
        <v>24</v>
      </c>
      <c r="I16" s="1" t="s">
        <v>1121</v>
      </c>
      <c r="J16" s="1" t="s">
        <v>1122</v>
      </c>
      <c r="K16" s="1" t="s">
        <v>1123</v>
      </c>
      <c r="L16" s="1" t="s">
        <v>59</v>
      </c>
      <c r="M16" s="8" t="s">
        <v>23</v>
      </c>
      <c r="N16" s="8" t="s">
        <v>59</v>
      </c>
      <c r="O16" s="1" t="s">
        <v>59</v>
      </c>
      <c r="P16" s="1" t="s">
        <v>101</v>
      </c>
    </row>
  </sheetData>
  <mergeCells count="2">
    <mergeCell ref="A2:H2"/>
    <mergeCell ref="A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xr:uid="{00000000-0002-0000-1300-000000000000}">
          <x14:formula1>
            <xm:f>Referensi!$A$1:$A$6</xm:f>
          </x14:formula1>
          <xm:sqref>M5:M9</xm:sqref>
        </x14:dataValidation>
        <x14:dataValidation type="list" allowBlank="1" xr:uid="{00000000-0002-0000-1300-000001000000}">
          <x14:formula1>
            <xm:f>Referensi!$B$1:$B$3</xm:f>
          </x14:formula1>
          <xm:sqref>H5:H9</xm:sqref>
        </x14:dataValidation>
        <x14:dataValidation type="list" allowBlank="1" xr:uid="{00000000-0002-0000-1300-000002000000}">
          <x14:formula1>
            <xm:f>Referensi!$C$1:$C$4</xm:f>
          </x14:formula1>
          <xm:sqref>F5:F9</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40"/>
  <sheetViews>
    <sheetView workbookViewId="0"/>
  </sheetViews>
  <sheetFormatPr defaultRowHeight="14.4" x14ac:dyDescent="0.3"/>
  <cols>
    <col min="1" max="1" width="14" customWidth="1"/>
    <col min="2" max="2" width="16" customWidth="1"/>
    <col min="3" max="3" width="24" customWidth="1"/>
    <col min="4" max="4" width="22" customWidth="1"/>
    <col min="5" max="5" width="34" customWidth="1"/>
    <col min="6" max="6" width="14" customWidth="1"/>
    <col min="7" max="7" width="20" customWidth="1"/>
    <col min="8" max="8" width="10" customWidth="1"/>
    <col min="9" max="9" width="28" customWidth="1"/>
    <col min="10" max="10" width="46" customWidth="1"/>
    <col min="11" max="11" width="42" customWidth="1"/>
    <col min="12" max="12" width="20" customWidth="1"/>
    <col min="13" max="13" width="14" customWidth="1"/>
    <col min="14" max="15" width="26" customWidth="1"/>
    <col min="16" max="16" width="34" customWidth="1"/>
  </cols>
  <sheetData>
    <row r="1" spans="1:16" ht="19.2" customHeight="1" x14ac:dyDescent="0.3">
      <c r="A1" s="17" t="s">
        <v>2268</v>
      </c>
      <c r="B1" s="16"/>
      <c r="C1" s="16"/>
      <c r="D1" s="16"/>
      <c r="E1" s="16"/>
      <c r="F1" s="16"/>
      <c r="G1" s="16"/>
      <c r="H1" s="16"/>
    </row>
    <row r="2" spans="1:16" ht="28.8" customHeight="1" x14ac:dyDescent="0.3">
      <c r="A2" s="15" t="s">
        <v>34</v>
      </c>
      <c r="B2" s="16"/>
      <c r="C2" s="16"/>
      <c r="D2" s="16"/>
      <c r="E2" s="16"/>
      <c r="F2" s="16"/>
      <c r="G2" s="16"/>
      <c r="H2" s="16"/>
    </row>
    <row r="4" spans="1:16" x14ac:dyDescent="0.3">
      <c r="A4" s="5" t="s">
        <v>35</v>
      </c>
      <c r="B4" s="5" t="s">
        <v>36</v>
      </c>
      <c r="C4" s="5" t="s">
        <v>37</v>
      </c>
      <c r="D4" s="5" t="s">
        <v>38</v>
      </c>
      <c r="E4" s="5" t="s">
        <v>39</v>
      </c>
      <c r="F4" s="5" t="s">
        <v>40</v>
      </c>
      <c r="G4" s="5" t="s">
        <v>41</v>
      </c>
      <c r="H4" s="5" t="s">
        <v>42</v>
      </c>
      <c r="I4" s="5" t="s">
        <v>43</v>
      </c>
      <c r="J4" s="5" t="s">
        <v>44</v>
      </c>
      <c r="K4" s="5" t="s">
        <v>45</v>
      </c>
      <c r="L4" s="5" t="s">
        <v>46</v>
      </c>
      <c r="M4" s="5" t="s">
        <v>17</v>
      </c>
      <c r="N4" s="5" t="s">
        <v>47</v>
      </c>
      <c r="O4" s="5" t="s">
        <v>20</v>
      </c>
      <c r="P4" s="5" t="s">
        <v>48</v>
      </c>
    </row>
    <row r="5" spans="1:16" ht="48" customHeight="1" x14ac:dyDescent="0.3">
      <c r="A5" s="1" t="s">
        <v>1314</v>
      </c>
      <c r="B5" s="1" t="s">
        <v>577</v>
      </c>
      <c r="C5" s="1" t="s">
        <v>1315</v>
      </c>
      <c r="D5" s="1" t="s">
        <v>1316</v>
      </c>
      <c r="E5" s="1" t="s">
        <v>1317</v>
      </c>
      <c r="F5" s="1" t="s">
        <v>25</v>
      </c>
      <c r="G5" s="1" t="s">
        <v>1318</v>
      </c>
      <c r="H5" s="1" t="s">
        <v>24</v>
      </c>
      <c r="I5" s="1" t="s">
        <v>1319</v>
      </c>
      <c r="J5" s="1" t="s">
        <v>1320</v>
      </c>
      <c r="K5" s="1" t="s">
        <v>1321</v>
      </c>
      <c r="L5" s="1" t="s">
        <v>1322</v>
      </c>
      <c r="M5" s="8" t="s">
        <v>23</v>
      </c>
      <c r="N5" s="8" t="s">
        <v>59</v>
      </c>
      <c r="O5" s="1" t="s">
        <v>59</v>
      </c>
      <c r="P5" s="1" t="s">
        <v>1323</v>
      </c>
    </row>
    <row r="6" spans="1:16" ht="48" customHeight="1" x14ac:dyDescent="0.3">
      <c r="A6" s="1" t="s">
        <v>1324</v>
      </c>
      <c r="B6" s="1" t="s">
        <v>577</v>
      </c>
      <c r="C6" s="1" t="s">
        <v>1315</v>
      </c>
      <c r="D6" s="1" t="s">
        <v>1325</v>
      </c>
      <c r="E6" s="1" t="s">
        <v>1326</v>
      </c>
      <c r="F6" s="1" t="s">
        <v>25</v>
      </c>
      <c r="G6" s="1" t="s">
        <v>1327</v>
      </c>
      <c r="H6" s="1" t="s">
        <v>24</v>
      </c>
      <c r="I6" s="1" t="s">
        <v>1328</v>
      </c>
      <c r="J6" s="1" t="s">
        <v>1329</v>
      </c>
      <c r="K6" s="1" t="s">
        <v>1330</v>
      </c>
      <c r="L6" s="1" t="s">
        <v>1331</v>
      </c>
      <c r="M6" s="8" t="s">
        <v>23</v>
      </c>
      <c r="N6" s="8" t="s">
        <v>59</v>
      </c>
      <c r="O6" s="1" t="s">
        <v>59</v>
      </c>
      <c r="P6" s="1" t="s">
        <v>1332</v>
      </c>
    </row>
    <row r="7" spans="1:16" ht="48" customHeight="1" x14ac:dyDescent="0.3">
      <c r="A7" s="1" t="s">
        <v>1333</v>
      </c>
      <c r="B7" s="1" t="s">
        <v>577</v>
      </c>
      <c r="C7" s="1" t="s">
        <v>1315</v>
      </c>
      <c r="D7" s="1" t="s">
        <v>1334</v>
      </c>
      <c r="E7" s="1" t="s">
        <v>1335</v>
      </c>
      <c r="F7" s="1" t="s">
        <v>25</v>
      </c>
      <c r="G7" s="1" t="s">
        <v>1327</v>
      </c>
      <c r="H7" s="1" t="s">
        <v>24</v>
      </c>
      <c r="I7" s="1" t="s">
        <v>1336</v>
      </c>
      <c r="J7" s="1" t="s">
        <v>1337</v>
      </c>
      <c r="K7" s="1" t="s">
        <v>1338</v>
      </c>
      <c r="L7" s="1" t="s">
        <v>1339</v>
      </c>
      <c r="M7" s="8" t="s">
        <v>23</v>
      </c>
      <c r="N7" s="8" t="s">
        <v>59</v>
      </c>
      <c r="O7" s="1" t="s">
        <v>59</v>
      </c>
      <c r="P7" s="1" t="s">
        <v>1323</v>
      </c>
    </row>
    <row r="8" spans="1:16" ht="48" customHeight="1" x14ac:dyDescent="0.3">
      <c r="A8" s="1" t="s">
        <v>1340</v>
      </c>
      <c r="B8" s="1" t="s">
        <v>577</v>
      </c>
      <c r="C8" s="1" t="s">
        <v>1315</v>
      </c>
      <c r="D8" s="1" t="s">
        <v>1341</v>
      </c>
      <c r="E8" s="1" t="s">
        <v>1342</v>
      </c>
      <c r="F8" s="1" t="s">
        <v>25</v>
      </c>
      <c r="G8" s="1" t="s">
        <v>1327</v>
      </c>
      <c r="H8" s="1" t="s">
        <v>27</v>
      </c>
      <c r="I8" s="1" t="s">
        <v>1343</v>
      </c>
      <c r="J8" s="1" t="s">
        <v>1344</v>
      </c>
      <c r="K8" s="1" t="s">
        <v>1345</v>
      </c>
      <c r="L8" s="1" t="s">
        <v>1346</v>
      </c>
      <c r="M8" s="8" t="s">
        <v>23</v>
      </c>
      <c r="N8" s="8" t="s">
        <v>59</v>
      </c>
      <c r="O8" s="1" t="s">
        <v>59</v>
      </c>
      <c r="P8" s="1" t="s">
        <v>1323</v>
      </c>
    </row>
    <row r="9" spans="1:16" ht="48" customHeight="1" x14ac:dyDescent="0.3">
      <c r="A9" s="1" t="s">
        <v>1347</v>
      </c>
      <c r="B9" s="1" t="s">
        <v>577</v>
      </c>
      <c r="C9" s="1" t="s">
        <v>1315</v>
      </c>
      <c r="D9" s="1" t="s">
        <v>1348</v>
      </c>
      <c r="E9" s="1" t="s">
        <v>1349</v>
      </c>
      <c r="F9" s="1" t="s">
        <v>25</v>
      </c>
      <c r="G9" s="1" t="s">
        <v>1327</v>
      </c>
      <c r="H9" s="1" t="s">
        <v>27</v>
      </c>
      <c r="I9" s="1" t="s">
        <v>1350</v>
      </c>
      <c r="J9" s="1" t="s">
        <v>1351</v>
      </c>
      <c r="K9" s="1" t="s">
        <v>1352</v>
      </c>
      <c r="L9" s="1" t="s">
        <v>1353</v>
      </c>
      <c r="M9" s="8" t="s">
        <v>23</v>
      </c>
      <c r="N9" s="8" t="s">
        <v>59</v>
      </c>
      <c r="O9" s="1" t="s">
        <v>59</v>
      </c>
      <c r="P9" s="1" t="s">
        <v>1323</v>
      </c>
    </row>
    <row r="10" spans="1:16" ht="48" customHeight="1" x14ac:dyDescent="0.3">
      <c r="A10" s="1" t="s">
        <v>1354</v>
      </c>
      <c r="B10" s="1" t="s">
        <v>577</v>
      </c>
      <c r="C10" s="1" t="s">
        <v>1315</v>
      </c>
      <c r="D10" s="1" t="s">
        <v>1355</v>
      </c>
      <c r="E10" s="1" t="s">
        <v>1356</v>
      </c>
      <c r="F10" s="1" t="s">
        <v>25</v>
      </c>
      <c r="G10" s="1" t="s">
        <v>1327</v>
      </c>
      <c r="H10" s="1" t="s">
        <v>27</v>
      </c>
      <c r="I10" s="1" t="s">
        <v>1357</v>
      </c>
      <c r="J10" s="1" t="s">
        <v>1358</v>
      </c>
      <c r="K10" s="1" t="s">
        <v>1359</v>
      </c>
      <c r="L10" s="1" t="s">
        <v>1360</v>
      </c>
      <c r="M10" s="8" t="s">
        <v>23</v>
      </c>
      <c r="N10" s="8" t="s">
        <v>59</v>
      </c>
      <c r="O10" s="1" t="s">
        <v>59</v>
      </c>
      <c r="P10" s="1" t="s">
        <v>1323</v>
      </c>
    </row>
    <row r="11" spans="1:16" ht="48" customHeight="1" x14ac:dyDescent="0.3">
      <c r="A11" s="1" t="s">
        <v>1361</v>
      </c>
      <c r="B11" s="1" t="s">
        <v>577</v>
      </c>
      <c r="C11" s="1" t="s">
        <v>1315</v>
      </c>
      <c r="D11" s="1" t="s">
        <v>1362</v>
      </c>
      <c r="E11" s="1" t="s">
        <v>1363</v>
      </c>
      <c r="F11" s="1" t="s">
        <v>28</v>
      </c>
      <c r="G11" s="1" t="s">
        <v>1327</v>
      </c>
      <c r="H11" s="1" t="s">
        <v>29</v>
      </c>
      <c r="I11" s="1" t="s">
        <v>1364</v>
      </c>
      <c r="J11" s="1" t="s">
        <v>1365</v>
      </c>
      <c r="K11" s="1" t="s">
        <v>1366</v>
      </c>
      <c r="L11" s="1" t="s">
        <v>1367</v>
      </c>
      <c r="M11" s="8" t="s">
        <v>23</v>
      </c>
      <c r="N11" s="8" t="s">
        <v>59</v>
      </c>
      <c r="O11" s="1" t="s">
        <v>59</v>
      </c>
      <c r="P11" s="1" t="s">
        <v>1323</v>
      </c>
    </row>
    <row r="12" spans="1:16" ht="48" customHeight="1" x14ac:dyDescent="0.3">
      <c r="A12" s="1" t="s">
        <v>1368</v>
      </c>
      <c r="B12" s="1" t="s">
        <v>577</v>
      </c>
      <c r="C12" s="1" t="s">
        <v>1315</v>
      </c>
      <c r="D12" s="1" t="s">
        <v>1369</v>
      </c>
      <c r="E12" s="1" t="s">
        <v>1370</v>
      </c>
      <c r="F12" s="1" t="s">
        <v>25</v>
      </c>
      <c r="G12" s="1" t="s">
        <v>1371</v>
      </c>
      <c r="H12" s="1" t="s">
        <v>24</v>
      </c>
      <c r="I12" s="1" t="s">
        <v>1372</v>
      </c>
      <c r="J12" s="1" t="s">
        <v>1373</v>
      </c>
      <c r="K12" s="1" t="s">
        <v>1374</v>
      </c>
      <c r="L12" s="1" t="s">
        <v>1375</v>
      </c>
      <c r="M12" s="8" t="s">
        <v>23</v>
      </c>
      <c r="N12" s="8" t="s">
        <v>59</v>
      </c>
      <c r="O12" s="1" t="s">
        <v>59</v>
      </c>
      <c r="P12" s="1" t="s">
        <v>1376</v>
      </c>
    </row>
    <row r="13" spans="1:16" ht="48" customHeight="1" x14ac:dyDescent="0.3">
      <c r="A13" s="1" t="s">
        <v>1377</v>
      </c>
      <c r="B13" s="1" t="s">
        <v>577</v>
      </c>
      <c r="C13" s="1" t="s">
        <v>1315</v>
      </c>
      <c r="D13" s="1" t="s">
        <v>1378</v>
      </c>
      <c r="E13" s="1" t="s">
        <v>1379</v>
      </c>
      <c r="F13" s="1" t="s">
        <v>25</v>
      </c>
      <c r="G13" s="1" t="s">
        <v>1371</v>
      </c>
      <c r="H13" s="1" t="s">
        <v>24</v>
      </c>
      <c r="I13" s="1" t="s">
        <v>1380</v>
      </c>
      <c r="J13" s="1" t="s">
        <v>1381</v>
      </c>
      <c r="K13" s="1" t="s">
        <v>1382</v>
      </c>
      <c r="L13" s="1" t="s">
        <v>1383</v>
      </c>
      <c r="M13" s="8" t="s">
        <v>23</v>
      </c>
      <c r="N13" s="8" t="s">
        <v>59</v>
      </c>
      <c r="O13" s="1" t="s">
        <v>59</v>
      </c>
      <c r="P13" s="1" t="s">
        <v>1384</v>
      </c>
    </row>
    <row r="14" spans="1:16" ht="48" customHeight="1" x14ac:dyDescent="0.3">
      <c r="A14" s="1" t="s">
        <v>1385</v>
      </c>
      <c r="B14" s="1" t="s">
        <v>577</v>
      </c>
      <c r="C14" s="1" t="s">
        <v>1315</v>
      </c>
      <c r="D14" s="1" t="s">
        <v>1386</v>
      </c>
      <c r="E14" s="1" t="s">
        <v>1387</v>
      </c>
      <c r="F14" s="1" t="s">
        <v>25</v>
      </c>
      <c r="G14" s="1" t="s">
        <v>1371</v>
      </c>
      <c r="H14" s="1" t="s">
        <v>24</v>
      </c>
      <c r="I14" s="1" t="s">
        <v>1388</v>
      </c>
      <c r="J14" s="1" t="s">
        <v>1389</v>
      </c>
      <c r="K14" s="1" t="s">
        <v>1390</v>
      </c>
      <c r="L14" s="1" t="s">
        <v>1391</v>
      </c>
      <c r="M14" s="8" t="s">
        <v>23</v>
      </c>
      <c r="N14" s="8" t="s">
        <v>59</v>
      </c>
      <c r="O14" s="1" t="s">
        <v>59</v>
      </c>
      <c r="P14" s="1" t="s">
        <v>1384</v>
      </c>
    </row>
    <row r="15" spans="1:16" ht="48" customHeight="1" x14ac:dyDescent="0.3">
      <c r="A15" s="1" t="s">
        <v>1392</v>
      </c>
      <c r="B15" s="1" t="s">
        <v>577</v>
      </c>
      <c r="C15" s="1" t="s">
        <v>1315</v>
      </c>
      <c r="D15" s="1" t="s">
        <v>1393</v>
      </c>
      <c r="E15" s="1" t="s">
        <v>1394</v>
      </c>
      <c r="F15" s="1" t="s">
        <v>28</v>
      </c>
      <c r="G15" s="1" t="s">
        <v>1371</v>
      </c>
      <c r="H15" s="1" t="s">
        <v>24</v>
      </c>
      <c r="I15" s="1" t="s">
        <v>1395</v>
      </c>
      <c r="J15" s="1" t="s">
        <v>1396</v>
      </c>
      <c r="K15" s="1" t="s">
        <v>1397</v>
      </c>
      <c r="L15" s="1" t="s">
        <v>1398</v>
      </c>
      <c r="M15" s="8" t="s">
        <v>23</v>
      </c>
      <c r="N15" s="8" t="s">
        <v>59</v>
      </c>
      <c r="O15" s="1" t="s">
        <v>59</v>
      </c>
      <c r="P15" s="1" t="s">
        <v>1399</v>
      </c>
    </row>
    <row r="16" spans="1:16" ht="48" customHeight="1" x14ac:dyDescent="0.3">
      <c r="A16" s="1" t="s">
        <v>1400</v>
      </c>
      <c r="B16" s="1" t="s">
        <v>577</v>
      </c>
      <c r="C16" s="1" t="s">
        <v>1315</v>
      </c>
      <c r="D16" s="1" t="s">
        <v>1401</v>
      </c>
      <c r="E16" s="1" t="s">
        <v>1402</v>
      </c>
      <c r="F16" s="1" t="s">
        <v>28</v>
      </c>
      <c r="G16" s="1" t="s">
        <v>1371</v>
      </c>
      <c r="H16" s="1" t="s">
        <v>24</v>
      </c>
      <c r="I16" s="1" t="s">
        <v>1403</v>
      </c>
      <c r="J16" s="1" t="s">
        <v>1404</v>
      </c>
      <c r="K16" s="1" t="s">
        <v>1405</v>
      </c>
      <c r="L16" s="1" t="s">
        <v>1406</v>
      </c>
      <c r="M16" s="8" t="s">
        <v>23</v>
      </c>
      <c r="N16" s="8" t="s">
        <v>59</v>
      </c>
      <c r="O16" s="1" t="s">
        <v>59</v>
      </c>
      <c r="P16" s="1" t="s">
        <v>1376</v>
      </c>
    </row>
    <row r="17" spans="1:16" ht="48" customHeight="1" x14ac:dyDescent="0.3">
      <c r="A17" s="1" t="s">
        <v>1407</v>
      </c>
      <c r="B17" s="1" t="s">
        <v>577</v>
      </c>
      <c r="C17" s="1" t="s">
        <v>1315</v>
      </c>
      <c r="D17" s="1" t="s">
        <v>1408</v>
      </c>
      <c r="E17" s="1" t="s">
        <v>1409</v>
      </c>
      <c r="F17" s="1" t="s">
        <v>28</v>
      </c>
      <c r="G17" s="1" t="s">
        <v>1371</v>
      </c>
      <c r="H17" s="1" t="s">
        <v>27</v>
      </c>
      <c r="I17" s="1" t="s">
        <v>1410</v>
      </c>
      <c r="J17" s="1" t="s">
        <v>1411</v>
      </c>
      <c r="K17" s="1" t="s">
        <v>1412</v>
      </c>
      <c r="L17" s="1" t="s">
        <v>1413</v>
      </c>
      <c r="M17" s="8" t="s">
        <v>23</v>
      </c>
      <c r="N17" s="8" t="s">
        <v>59</v>
      </c>
      <c r="O17" s="1" t="s">
        <v>59</v>
      </c>
      <c r="P17" s="1" t="s">
        <v>1384</v>
      </c>
    </row>
    <row r="18" spans="1:16" ht="48" customHeight="1" x14ac:dyDescent="0.3">
      <c r="A18" s="1" t="s">
        <v>1414</v>
      </c>
      <c r="B18" s="1" t="s">
        <v>577</v>
      </c>
      <c r="C18" s="1" t="s">
        <v>1315</v>
      </c>
      <c r="D18" s="1" t="s">
        <v>1415</v>
      </c>
      <c r="E18" s="1" t="s">
        <v>1416</v>
      </c>
      <c r="F18" s="1" t="s">
        <v>25</v>
      </c>
      <c r="G18" s="1" t="s">
        <v>1327</v>
      </c>
      <c r="H18" s="1" t="s">
        <v>24</v>
      </c>
      <c r="I18" s="1" t="s">
        <v>1417</v>
      </c>
      <c r="J18" s="1" t="s">
        <v>1418</v>
      </c>
      <c r="K18" s="1" t="s">
        <v>1419</v>
      </c>
      <c r="L18" s="1" t="s">
        <v>1420</v>
      </c>
      <c r="M18" s="8" t="s">
        <v>23</v>
      </c>
      <c r="N18" s="8" t="s">
        <v>59</v>
      </c>
      <c r="O18" s="1" t="s">
        <v>59</v>
      </c>
      <c r="P18" s="1" t="s">
        <v>1421</v>
      </c>
    </row>
    <row r="19" spans="1:16" ht="48" customHeight="1" x14ac:dyDescent="0.3">
      <c r="A19" s="1" t="s">
        <v>1422</v>
      </c>
      <c r="B19" s="1" t="s">
        <v>577</v>
      </c>
      <c r="C19" s="1" t="s">
        <v>1315</v>
      </c>
      <c r="D19" s="1" t="s">
        <v>1423</v>
      </c>
      <c r="E19" s="1" t="s">
        <v>1424</v>
      </c>
      <c r="F19" s="1" t="s">
        <v>28</v>
      </c>
      <c r="G19" s="1" t="s">
        <v>1327</v>
      </c>
      <c r="H19" s="1" t="s">
        <v>27</v>
      </c>
      <c r="I19" s="1" t="s">
        <v>1425</v>
      </c>
      <c r="J19" s="1" t="s">
        <v>1426</v>
      </c>
      <c r="K19" s="1" t="s">
        <v>1427</v>
      </c>
      <c r="L19" s="1" t="s">
        <v>1428</v>
      </c>
      <c r="M19" s="8" t="s">
        <v>23</v>
      </c>
      <c r="N19" s="8" t="s">
        <v>59</v>
      </c>
      <c r="O19" s="1" t="s">
        <v>59</v>
      </c>
      <c r="P19" s="1" t="s">
        <v>1376</v>
      </c>
    </row>
    <row r="20" spans="1:16" ht="48" customHeight="1" x14ac:dyDescent="0.3">
      <c r="A20" s="1" t="s">
        <v>1429</v>
      </c>
      <c r="B20" s="1" t="s">
        <v>577</v>
      </c>
      <c r="C20" s="1" t="s">
        <v>1315</v>
      </c>
      <c r="D20" s="1" t="s">
        <v>1430</v>
      </c>
      <c r="E20" s="1" t="s">
        <v>1431</v>
      </c>
      <c r="F20" s="1" t="s">
        <v>25</v>
      </c>
      <c r="G20" s="1" t="s">
        <v>1371</v>
      </c>
      <c r="H20" s="1" t="s">
        <v>24</v>
      </c>
      <c r="I20" s="1" t="s">
        <v>1432</v>
      </c>
      <c r="J20" s="1" t="s">
        <v>1433</v>
      </c>
      <c r="K20" s="1" t="s">
        <v>1434</v>
      </c>
      <c r="L20" s="1" t="s">
        <v>1435</v>
      </c>
      <c r="M20" s="8" t="s">
        <v>23</v>
      </c>
      <c r="N20" s="8" t="s">
        <v>59</v>
      </c>
      <c r="O20" s="1" t="s">
        <v>59</v>
      </c>
      <c r="P20" s="1" t="s">
        <v>1376</v>
      </c>
    </row>
    <row r="21" spans="1:16" ht="48" customHeight="1" x14ac:dyDescent="0.3">
      <c r="A21" s="1" t="s">
        <v>1436</v>
      </c>
      <c r="B21" s="1" t="s">
        <v>577</v>
      </c>
      <c r="C21" s="1" t="s">
        <v>1315</v>
      </c>
      <c r="D21" s="1" t="s">
        <v>1437</v>
      </c>
      <c r="E21" s="1" t="s">
        <v>1438</v>
      </c>
      <c r="F21" s="1" t="s">
        <v>25</v>
      </c>
      <c r="G21" s="1" t="s">
        <v>1371</v>
      </c>
      <c r="H21" s="1" t="s">
        <v>27</v>
      </c>
      <c r="I21" s="1" t="s">
        <v>1439</v>
      </c>
      <c r="J21" s="1" t="s">
        <v>1440</v>
      </c>
      <c r="K21" s="1" t="s">
        <v>1441</v>
      </c>
      <c r="L21" s="1" t="s">
        <v>1442</v>
      </c>
      <c r="M21" s="8" t="s">
        <v>23</v>
      </c>
      <c r="N21" s="8" t="s">
        <v>59</v>
      </c>
      <c r="O21" s="1" t="s">
        <v>59</v>
      </c>
      <c r="P21" s="1" t="s">
        <v>1443</v>
      </c>
    </row>
    <row r="22" spans="1:16" ht="48" customHeight="1" x14ac:dyDescent="0.3">
      <c r="A22" s="1" t="s">
        <v>1444</v>
      </c>
      <c r="B22" s="1" t="s">
        <v>577</v>
      </c>
      <c r="C22" s="1" t="s">
        <v>1315</v>
      </c>
      <c r="D22" s="1" t="s">
        <v>1445</v>
      </c>
      <c r="E22" s="1" t="s">
        <v>1446</v>
      </c>
      <c r="F22" s="1" t="s">
        <v>28</v>
      </c>
      <c r="G22" s="1" t="s">
        <v>1371</v>
      </c>
      <c r="H22" s="1" t="s">
        <v>24</v>
      </c>
      <c r="I22" s="1" t="s">
        <v>1447</v>
      </c>
      <c r="J22" s="1" t="s">
        <v>1448</v>
      </c>
      <c r="K22" s="1" t="s">
        <v>1449</v>
      </c>
      <c r="L22" s="1" t="s">
        <v>1450</v>
      </c>
      <c r="M22" s="8" t="s">
        <v>23</v>
      </c>
      <c r="N22" s="8" t="s">
        <v>59</v>
      </c>
      <c r="O22" s="1" t="s">
        <v>59</v>
      </c>
      <c r="P22" s="1" t="s">
        <v>1376</v>
      </c>
    </row>
    <row r="23" spans="1:16" ht="48" customHeight="1" x14ac:dyDescent="0.3">
      <c r="A23" s="1" t="s">
        <v>1451</v>
      </c>
      <c r="B23" s="1" t="s">
        <v>577</v>
      </c>
      <c r="C23" s="1" t="s">
        <v>1315</v>
      </c>
      <c r="D23" s="1" t="s">
        <v>1452</v>
      </c>
      <c r="E23" s="1" t="s">
        <v>1453</v>
      </c>
      <c r="F23" s="1" t="s">
        <v>25</v>
      </c>
      <c r="G23" s="1" t="s">
        <v>1371</v>
      </c>
      <c r="H23" s="1" t="s">
        <v>24</v>
      </c>
      <c r="I23" s="1" t="s">
        <v>1454</v>
      </c>
      <c r="J23" s="1" t="s">
        <v>1455</v>
      </c>
      <c r="K23" s="1" t="s">
        <v>1456</v>
      </c>
      <c r="L23" s="1" t="s">
        <v>1457</v>
      </c>
      <c r="M23" s="8" t="s">
        <v>23</v>
      </c>
      <c r="N23" s="8" t="s">
        <v>59</v>
      </c>
      <c r="O23" s="1" t="s">
        <v>59</v>
      </c>
      <c r="P23" s="1" t="s">
        <v>1376</v>
      </c>
    </row>
    <row r="24" spans="1:16" ht="48" customHeight="1" x14ac:dyDescent="0.3">
      <c r="A24" s="1" t="s">
        <v>1458</v>
      </c>
      <c r="B24" s="1" t="s">
        <v>577</v>
      </c>
      <c r="C24" s="1" t="s">
        <v>1315</v>
      </c>
      <c r="D24" s="1" t="s">
        <v>1459</v>
      </c>
      <c r="E24" s="1" t="s">
        <v>1460</v>
      </c>
      <c r="F24" s="1" t="s">
        <v>28</v>
      </c>
      <c r="G24" s="1" t="s">
        <v>1371</v>
      </c>
      <c r="H24" s="1" t="s">
        <v>27</v>
      </c>
      <c r="I24" s="1" t="s">
        <v>1454</v>
      </c>
      <c r="J24" s="1" t="s">
        <v>1461</v>
      </c>
      <c r="K24" s="1" t="s">
        <v>1462</v>
      </c>
      <c r="L24" s="1" t="s">
        <v>1463</v>
      </c>
      <c r="M24" s="8" t="s">
        <v>23</v>
      </c>
      <c r="N24" s="8" t="s">
        <v>59</v>
      </c>
      <c r="O24" s="1" t="s">
        <v>59</v>
      </c>
      <c r="P24" s="1" t="s">
        <v>1421</v>
      </c>
    </row>
    <row r="25" spans="1:16" ht="48" customHeight="1" x14ac:dyDescent="0.3">
      <c r="A25" s="1" t="s">
        <v>1464</v>
      </c>
      <c r="B25" s="1" t="s">
        <v>577</v>
      </c>
      <c r="C25" s="1" t="s">
        <v>1315</v>
      </c>
      <c r="D25" s="1" t="s">
        <v>1465</v>
      </c>
      <c r="E25" s="1" t="s">
        <v>1466</v>
      </c>
      <c r="F25" s="1" t="s">
        <v>28</v>
      </c>
      <c r="G25" s="1" t="s">
        <v>1371</v>
      </c>
      <c r="H25" s="1" t="s">
        <v>24</v>
      </c>
      <c r="I25" s="1" t="s">
        <v>1467</v>
      </c>
      <c r="J25" s="1" t="s">
        <v>1468</v>
      </c>
      <c r="K25" s="1" t="s">
        <v>1469</v>
      </c>
      <c r="L25" s="1" t="s">
        <v>1470</v>
      </c>
      <c r="M25" s="8" t="s">
        <v>23</v>
      </c>
      <c r="N25" s="8" t="s">
        <v>59</v>
      </c>
      <c r="O25" s="1" t="s">
        <v>59</v>
      </c>
      <c r="P25" s="1" t="s">
        <v>1376</v>
      </c>
    </row>
    <row r="26" spans="1:16" ht="48" customHeight="1" x14ac:dyDescent="0.3">
      <c r="A26" s="1" t="s">
        <v>1471</v>
      </c>
      <c r="B26" s="1" t="s">
        <v>577</v>
      </c>
      <c r="C26" s="1" t="s">
        <v>1315</v>
      </c>
      <c r="D26" s="1" t="s">
        <v>1472</v>
      </c>
      <c r="E26" s="1" t="s">
        <v>1473</v>
      </c>
      <c r="F26" s="1" t="s">
        <v>25</v>
      </c>
      <c r="G26" s="1" t="s">
        <v>1371</v>
      </c>
      <c r="H26" s="1" t="s">
        <v>24</v>
      </c>
      <c r="I26" s="1" t="s">
        <v>1474</v>
      </c>
      <c r="J26" s="1" t="s">
        <v>1475</v>
      </c>
      <c r="K26" s="1" t="s">
        <v>1476</v>
      </c>
      <c r="L26" s="1" t="s">
        <v>1477</v>
      </c>
      <c r="M26" s="8" t="s">
        <v>23</v>
      </c>
      <c r="N26" s="8" t="s">
        <v>59</v>
      </c>
      <c r="O26" s="1" t="s">
        <v>59</v>
      </c>
      <c r="P26" s="1" t="s">
        <v>1376</v>
      </c>
    </row>
    <row r="27" spans="1:16" ht="48" customHeight="1" x14ac:dyDescent="0.3">
      <c r="A27" s="1" t="s">
        <v>1478</v>
      </c>
      <c r="B27" s="1" t="s">
        <v>577</v>
      </c>
      <c r="C27" s="1" t="s">
        <v>1315</v>
      </c>
      <c r="D27" s="1" t="s">
        <v>1479</v>
      </c>
      <c r="E27" s="1" t="s">
        <v>1480</v>
      </c>
      <c r="F27" s="1" t="s">
        <v>28</v>
      </c>
      <c r="G27" s="1" t="s">
        <v>1371</v>
      </c>
      <c r="H27" s="1" t="s">
        <v>24</v>
      </c>
      <c r="I27" s="1" t="s">
        <v>1481</v>
      </c>
      <c r="J27" s="1" t="s">
        <v>1482</v>
      </c>
      <c r="K27" s="1" t="s">
        <v>1483</v>
      </c>
      <c r="L27" s="1" t="s">
        <v>1484</v>
      </c>
      <c r="M27" s="8" t="s">
        <v>23</v>
      </c>
      <c r="N27" s="8" t="s">
        <v>59</v>
      </c>
      <c r="O27" s="1" t="s">
        <v>59</v>
      </c>
      <c r="P27" s="1" t="s">
        <v>1376</v>
      </c>
    </row>
    <row r="28" spans="1:16" ht="48" customHeight="1" x14ac:dyDescent="0.3">
      <c r="A28" s="1" t="s">
        <v>1485</v>
      </c>
      <c r="B28" s="1" t="s">
        <v>577</v>
      </c>
      <c r="C28" s="1" t="s">
        <v>1315</v>
      </c>
      <c r="D28" s="1" t="s">
        <v>1486</v>
      </c>
      <c r="E28" s="1" t="s">
        <v>1487</v>
      </c>
      <c r="F28" s="1" t="s">
        <v>25</v>
      </c>
      <c r="G28" s="1" t="s">
        <v>1371</v>
      </c>
      <c r="H28" s="1" t="s">
        <v>24</v>
      </c>
      <c r="I28" s="1" t="s">
        <v>1488</v>
      </c>
      <c r="J28" s="1" t="s">
        <v>1489</v>
      </c>
      <c r="K28" s="1" t="s">
        <v>1490</v>
      </c>
      <c r="L28" s="1" t="s">
        <v>1491</v>
      </c>
      <c r="M28" s="8" t="s">
        <v>23</v>
      </c>
      <c r="N28" s="8" t="s">
        <v>59</v>
      </c>
      <c r="O28" s="1" t="s">
        <v>59</v>
      </c>
      <c r="P28" s="1" t="s">
        <v>1376</v>
      </c>
    </row>
    <row r="29" spans="1:16" ht="48" customHeight="1" x14ac:dyDescent="0.3">
      <c r="A29" s="1" t="s">
        <v>1492</v>
      </c>
      <c r="B29" s="1" t="s">
        <v>577</v>
      </c>
      <c r="C29" s="1" t="s">
        <v>1315</v>
      </c>
      <c r="D29" s="1" t="s">
        <v>1493</v>
      </c>
      <c r="E29" s="1" t="s">
        <v>1494</v>
      </c>
      <c r="F29" s="1" t="s">
        <v>28</v>
      </c>
      <c r="G29" s="1" t="s">
        <v>1371</v>
      </c>
      <c r="H29" s="1" t="s">
        <v>24</v>
      </c>
      <c r="I29" s="1" t="s">
        <v>1495</v>
      </c>
      <c r="J29" s="1" t="s">
        <v>1496</v>
      </c>
      <c r="K29" s="1" t="s">
        <v>1497</v>
      </c>
      <c r="L29" s="1" t="s">
        <v>1498</v>
      </c>
      <c r="M29" s="8" t="s">
        <v>23</v>
      </c>
      <c r="N29" s="8" t="s">
        <v>59</v>
      </c>
      <c r="O29" s="1" t="s">
        <v>59</v>
      </c>
      <c r="P29" s="1" t="s">
        <v>1376</v>
      </c>
    </row>
    <row r="30" spans="1:16" ht="48" customHeight="1" x14ac:dyDescent="0.3">
      <c r="A30" s="1" t="s">
        <v>1499</v>
      </c>
      <c r="B30" s="1" t="s">
        <v>577</v>
      </c>
      <c r="C30" s="1" t="s">
        <v>1315</v>
      </c>
      <c r="D30" s="1" t="s">
        <v>1500</v>
      </c>
      <c r="E30" s="1" t="s">
        <v>1501</v>
      </c>
      <c r="F30" s="1" t="s">
        <v>25</v>
      </c>
      <c r="G30" s="1" t="s">
        <v>1371</v>
      </c>
      <c r="H30" s="1" t="s">
        <v>24</v>
      </c>
      <c r="I30" s="1" t="s">
        <v>1502</v>
      </c>
      <c r="J30" s="1" t="s">
        <v>1503</v>
      </c>
      <c r="K30" s="1" t="s">
        <v>1504</v>
      </c>
      <c r="L30" s="1" t="s">
        <v>1505</v>
      </c>
      <c r="M30" s="8" t="s">
        <v>23</v>
      </c>
      <c r="N30" s="8" t="s">
        <v>59</v>
      </c>
      <c r="O30" s="1" t="s">
        <v>59</v>
      </c>
      <c r="P30" s="1" t="s">
        <v>1376</v>
      </c>
    </row>
    <row r="31" spans="1:16" ht="48" customHeight="1" x14ac:dyDescent="0.3">
      <c r="A31" s="1" t="s">
        <v>1506</v>
      </c>
      <c r="B31" s="1" t="s">
        <v>577</v>
      </c>
      <c r="C31" s="1" t="s">
        <v>1315</v>
      </c>
      <c r="D31" s="1" t="s">
        <v>1507</v>
      </c>
      <c r="E31" s="1" t="s">
        <v>1508</v>
      </c>
      <c r="F31" s="1" t="s">
        <v>28</v>
      </c>
      <c r="G31" s="1" t="s">
        <v>1371</v>
      </c>
      <c r="H31" s="1" t="s">
        <v>24</v>
      </c>
      <c r="I31" s="1" t="s">
        <v>1509</v>
      </c>
      <c r="J31" s="1" t="s">
        <v>1510</v>
      </c>
      <c r="K31" s="1" t="s">
        <v>1511</v>
      </c>
      <c r="L31" s="1" t="s">
        <v>1512</v>
      </c>
      <c r="M31" s="8" t="s">
        <v>23</v>
      </c>
      <c r="N31" s="8" t="s">
        <v>59</v>
      </c>
      <c r="O31" s="1" t="s">
        <v>59</v>
      </c>
      <c r="P31" s="1" t="s">
        <v>1376</v>
      </c>
    </row>
    <row r="32" spans="1:16" ht="48" customHeight="1" x14ac:dyDescent="0.3">
      <c r="A32" s="1" t="s">
        <v>1513</v>
      </c>
      <c r="B32" s="1" t="s">
        <v>577</v>
      </c>
      <c r="C32" s="1" t="s">
        <v>1315</v>
      </c>
      <c r="D32" s="1" t="s">
        <v>1514</v>
      </c>
      <c r="E32" s="1" t="s">
        <v>1515</v>
      </c>
      <c r="F32" s="1" t="s">
        <v>25</v>
      </c>
      <c r="G32" s="1" t="s">
        <v>1371</v>
      </c>
      <c r="H32" s="1" t="s">
        <v>24</v>
      </c>
      <c r="I32" s="1" t="s">
        <v>1516</v>
      </c>
      <c r="J32" s="1" t="s">
        <v>1517</v>
      </c>
      <c r="K32" s="1" t="s">
        <v>1518</v>
      </c>
      <c r="L32" s="1" t="s">
        <v>1519</v>
      </c>
      <c r="M32" s="8" t="s">
        <v>23</v>
      </c>
      <c r="N32" s="8" t="s">
        <v>59</v>
      </c>
      <c r="O32" s="1" t="s">
        <v>59</v>
      </c>
      <c r="P32" s="1" t="s">
        <v>1421</v>
      </c>
    </row>
    <row r="33" spans="1:16" ht="48" customHeight="1" x14ac:dyDescent="0.3">
      <c r="A33" s="1" t="s">
        <v>1520</v>
      </c>
      <c r="B33" s="1" t="s">
        <v>577</v>
      </c>
      <c r="C33" s="1" t="s">
        <v>1315</v>
      </c>
      <c r="D33" s="1" t="s">
        <v>1521</v>
      </c>
      <c r="E33" s="1" t="s">
        <v>1522</v>
      </c>
      <c r="F33" s="1" t="s">
        <v>25</v>
      </c>
      <c r="G33" s="1" t="s">
        <v>1371</v>
      </c>
      <c r="H33" s="1" t="s">
        <v>27</v>
      </c>
      <c r="I33" s="1" t="s">
        <v>1523</v>
      </c>
      <c r="J33" s="1" t="s">
        <v>1524</v>
      </c>
      <c r="K33" s="1" t="s">
        <v>1525</v>
      </c>
      <c r="L33" s="1" t="s">
        <v>1526</v>
      </c>
      <c r="M33" s="8" t="s">
        <v>23</v>
      </c>
      <c r="N33" s="8" t="s">
        <v>59</v>
      </c>
      <c r="O33" s="1" t="s">
        <v>59</v>
      </c>
      <c r="P33" s="1" t="s">
        <v>1376</v>
      </c>
    </row>
    <row r="34" spans="1:16" ht="48" customHeight="1" x14ac:dyDescent="0.3">
      <c r="A34" s="1" t="s">
        <v>1527</v>
      </c>
      <c r="B34" s="1" t="s">
        <v>577</v>
      </c>
      <c r="C34" s="1" t="s">
        <v>1315</v>
      </c>
      <c r="D34" s="1" t="s">
        <v>1528</v>
      </c>
      <c r="E34" s="1" t="s">
        <v>1529</v>
      </c>
      <c r="F34" s="1" t="s">
        <v>28</v>
      </c>
      <c r="G34" s="1" t="s">
        <v>1371</v>
      </c>
      <c r="H34" s="1" t="s">
        <v>27</v>
      </c>
      <c r="I34" s="1" t="s">
        <v>1530</v>
      </c>
      <c r="J34" s="1" t="s">
        <v>1531</v>
      </c>
      <c r="K34" s="1" t="s">
        <v>1532</v>
      </c>
      <c r="L34" s="1" t="s">
        <v>1533</v>
      </c>
      <c r="M34" s="8" t="s">
        <v>23</v>
      </c>
      <c r="N34" s="8" t="s">
        <v>59</v>
      </c>
      <c r="O34" s="1" t="s">
        <v>59</v>
      </c>
      <c r="P34" s="1" t="s">
        <v>1376</v>
      </c>
    </row>
    <row r="35" spans="1:16" ht="48" customHeight="1" x14ac:dyDescent="0.3">
      <c r="A35" s="1" t="s">
        <v>1534</v>
      </c>
      <c r="B35" s="1" t="s">
        <v>577</v>
      </c>
      <c r="C35" s="1" t="s">
        <v>1315</v>
      </c>
      <c r="D35" s="1" t="s">
        <v>1535</v>
      </c>
      <c r="E35" s="1" t="s">
        <v>1536</v>
      </c>
      <c r="F35" s="1" t="s">
        <v>30</v>
      </c>
      <c r="G35" s="1" t="s">
        <v>186</v>
      </c>
      <c r="H35" s="1" t="s">
        <v>24</v>
      </c>
      <c r="I35" s="1" t="s">
        <v>1537</v>
      </c>
      <c r="J35" s="1" t="s">
        <v>1538</v>
      </c>
      <c r="K35" s="1" t="s">
        <v>1539</v>
      </c>
      <c r="L35" s="1" t="s">
        <v>1540</v>
      </c>
      <c r="M35" s="8" t="s">
        <v>23</v>
      </c>
      <c r="N35" s="8" t="s">
        <v>59</v>
      </c>
      <c r="O35" s="1" t="s">
        <v>1541</v>
      </c>
      <c r="P35" s="1" t="s">
        <v>1443</v>
      </c>
    </row>
    <row r="36" spans="1:16" ht="48" customHeight="1" x14ac:dyDescent="0.3">
      <c r="A36" s="1" t="s">
        <v>1542</v>
      </c>
      <c r="B36" s="1" t="s">
        <v>577</v>
      </c>
      <c r="C36" s="1" t="s">
        <v>1315</v>
      </c>
      <c r="D36" s="1" t="s">
        <v>1543</v>
      </c>
      <c r="E36" s="1" t="s">
        <v>1544</v>
      </c>
      <c r="F36" s="1" t="s">
        <v>30</v>
      </c>
      <c r="G36" s="1" t="s">
        <v>1545</v>
      </c>
      <c r="H36" s="1" t="s">
        <v>24</v>
      </c>
      <c r="I36" s="1" t="s">
        <v>1546</v>
      </c>
      <c r="J36" s="1" t="s">
        <v>1547</v>
      </c>
      <c r="K36" s="1" t="s">
        <v>1548</v>
      </c>
      <c r="L36" s="1" t="s">
        <v>1549</v>
      </c>
      <c r="M36" s="8" t="s">
        <v>23</v>
      </c>
      <c r="N36" s="8" t="s">
        <v>59</v>
      </c>
      <c r="O36" s="1" t="s">
        <v>59</v>
      </c>
      <c r="P36" s="1" t="s">
        <v>1443</v>
      </c>
    </row>
    <row r="37" spans="1:16" ht="48" customHeight="1" x14ac:dyDescent="0.3">
      <c r="A37" s="1" t="s">
        <v>1550</v>
      </c>
      <c r="B37" s="1" t="s">
        <v>577</v>
      </c>
      <c r="C37" s="1" t="s">
        <v>1315</v>
      </c>
      <c r="D37" s="1" t="s">
        <v>1551</v>
      </c>
      <c r="E37" s="1" t="s">
        <v>1552</v>
      </c>
      <c r="F37" s="1" t="s">
        <v>31</v>
      </c>
      <c r="G37" s="1" t="s">
        <v>1327</v>
      </c>
      <c r="H37" s="1" t="s">
        <v>27</v>
      </c>
      <c r="I37" s="1" t="s">
        <v>1553</v>
      </c>
      <c r="J37" s="1" t="s">
        <v>1554</v>
      </c>
      <c r="K37" s="1" t="s">
        <v>1555</v>
      </c>
      <c r="L37" s="1" t="s">
        <v>1556</v>
      </c>
      <c r="M37" s="8" t="s">
        <v>23</v>
      </c>
      <c r="N37" s="8" t="s">
        <v>59</v>
      </c>
      <c r="O37" s="1" t="s">
        <v>59</v>
      </c>
      <c r="P37" s="1" t="s">
        <v>1332</v>
      </c>
    </row>
    <row r="38" spans="1:16" ht="48" customHeight="1" x14ac:dyDescent="0.3">
      <c r="A38" s="1" t="s">
        <v>1557</v>
      </c>
      <c r="B38" s="1" t="s">
        <v>577</v>
      </c>
      <c r="C38" s="1" t="s">
        <v>1315</v>
      </c>
      <c r="D38" s="1" t="s">
        <v>387</v>
      </c>
      <c r="E38" s="1" t="s">
        <v>1558</v>
      </c>
      <c r="F38" s="1" t="s">
        <v>30</v>
      </c>
      <c r="G38" s="1" t="s">
        <v>1559</v>
      </c>
      <c r="H38" s="1" t="s">
        <v>24</v>
      </c>
      <c r="I38" s="1" t="s">
        <v>1560</v>
      </c>
      <c r="J38" s="1" t="s">
        <v>1561</v>
      </c>
      <c r="K38" s="1" t="s">
        <v>1562</v>
      </c>
      <c r="L38" s="1" t="s">
        <v>1563</v>
      </c>
      <c r="M38" s="8" t="s">
        <v>23</v>
      </c>
      <c r="N38" s="8" t="s">
        <v>59</v>
      </c>
      <c r="O38" s="1" t="s">
        <v>59</v>
      </c>
      <c r="P38" s="1" t="s">
        <v>1332</v>
      </c>
    </row>
    <row r="39" spans="1:16" ht="48" customHeight="1" x14ac:dyDescent="0.3">
      <c r="A39" s="1" t="s">
        <v>1564</v>
      </c>
      <c r="B39" s="1" t="s">
        <v>577</v>
      </c>
      <c r="C39" s="1" t="s">
        <v>1315</v>
      </c>
      <c r="D39" s="1" t="s">
        <v>1565</v>
      </c>
      <c r="E39" s="1" t="s">
        <v>1566</v>
      </c>
      <c r="F39" s="1" t="s">
        <v>31</v>
      </c>
      <c r="G39" s="1" t="s">
        <v>1371</v>
      </c>
      <c r="H39" s="1" t="s">
        <v>27</v>
      </c>
      <c r="I39" s="1" t="s">
        <v>1567</v>
      </c>
      <c r="J39" s="1" t="s">
        <v>1568</v>
      </c>
      <c r="K39" s="1" t="s">
        <v>1569</v>
      </c>
      <c r="L39" s="1" t="s">
        <v>1570</v>
      </c>
      <c r="M39" s="8" t="s">
        <v>23</v>
      </c>
      <c r="N39" s="8" t="s">
        <v>59</v>
      </c>
      <c r="O39" s="1" t="s">
        <v>59</v>
      </c>
      <c r="P39" s="1" t="s">
        <v>1376</v>
      </c>
    </row>
    <row r="40" spans="1:16" ht="48" customHeight="1" x14ac:dyDescent="0.3">
      <c r="A40" s="1" t="s">
        <v>1571</v>
      </c>
      <c r="B40" s="1" t="s">
        <v>577</v>
      </c>
      <c r="C40" s="1" t="s">
        <v>1315</v>
      </c>
      <c r="D40" s="1" t="s">
        <v>1572</v>
      </c>
      <c r="E40" s="1" t="s">
        <v>1573</v>
      </c>
      <c r="F40" s="1" t="s">
        <v>1574</v>
      </c>
      <c r="G40" s="1" t="s">
        <v>1575</v>
      </c>
      <c r="H40" s="1" t="s">
        <v>29</v>
      </c>
      <c r="I40" s="1" t="s">
        <v>1576</v>
      </c>
      <c r="J40" s="1" t="s">
        <v>1577</v>
      </c>
      <c r="K40" s="1" t="s">
        <v>1578</v>
      </c>
      <c r="L40" s="1" t="s">
        <v>1579</v>
      </c>
      <c r="M40" s="8" t="s">
        <v>23</v>
      </c>
      <c r="N40" s="8" t="s">
        <v>59</v>
      </c>
      <c r="O40" s="1" t="s">
        <v>1580</v>
      </c>
      <c r="P40" s="1" t="s">
        <v>161</v>
      </c>
    </row>
  </sheetData>
  <mergeCells count="2">
    <mergeCell ref="A2:H2"/>
    <mergeCell ref="A1:H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13"/>
  <sheetViews>
    <sheetView showGridLines="0" workbookViewId="0"/>
  </sheetViews>
  <sheetFormatPr defaultRowHeight="14.4" x14ac:dyDescent="0.3"/>
  <cols>
    <col min="1" max="1" width="14" customWidth="1"/>
    <col min="2" max="2" width="16" customWidth="1"/>
    <col min="3" max="3" width="24" customWidth="1"/>
    <col min="4" max="4" width="22" customWidth="1"/>
    <col min="5" max="5" width="34" customWidth="1"/>
    <col min="6" max="6" width="14" customWidth="1"/>
    <col min="7" max="7" width="20" customWidth="1"/>
    <col min="8" max="8" width="10" customWidth="1"/>
    <col min="9" max="9" width="28" customWidth="1"/>
    <col min="10" max="10" width="46" customWidth="1"/>
    <col min="11" max="11" width="42" customWidth="1"/>
    <col min="12" max="12" width="20" customWidth="1"/>
    <col min="13" max="13" width="14" customWidth="1"/>
    <col min="14" max="15" width="26" customWidth="1"/>
    <col min="16" max="16" width="34" customWidth="1"/>
  </cols>
  <sheetData>
    <row r="1" spans="1:16" ht="24" customHeight="1" x14ac:dyDescent="0.3">
      <c r="A1" s="17" t="s">
        <v>2269</v>
      </c>
      <c r="B1" s="16"/>
      <c r="C1" s="16"/>
      <c r="D1" s="16"/>
      <c r="E1" s="16"/>
      <c r="F1" s="16"/>
      <c r="G1" s="16"/>
      <c r="H1" s="16"/>
    </row>
    <row r="2" spans="1:16" ht="36" customHeight="1" x14ac:dyDescent="0.3">
      <c r="A2" s="15" t="s">
        <v>34</v>
      </c>
      <c r="B2" s="16"/>
      <c r="C2" s="16"/>
      <c r="D2" s="16"/>
      <c r="E2" s="16"/>
      <c r="F2" s="16"/>
      <c r="G2" s="16"/>
      <c r="H2" s="16"/>
    </row>
    <row r="4" spans="1:16" x14ac:dyDescent="0.3">
      <c r="A4" s="5" t="s">
        <v>35</v>
      </c>
      <c r="B4" s="5" t="s">
        <v>36</v>
      </c>
      <c r="C4" s="5" t="s">
        <v>37</v>
      </c>
      <c r="D4" s="5" t="s">
        <v>38</v>
      </c>
      <c r="E4" s="5" t="s">
        <v>39</v>
      </c>
      <c r="F4" s="5" t="s">
        <v>40</v>
      </c>
      <c r="G4" s="5" t="s">
        <v>41</v>
      </c>
      <c r="H4" s="5" t="s">
        <v>42</v>
      </c>
      <c r="I4" s="5" t="s">
        <v>43</v>
      </c>
      <c r="J4" s="5" t="s">
        <v>44</v>
      </c>
      <c r="K4" s="5" t="s">
        <v>45</v>
      </c>
      <c r="L4" s="5" t="s">
        <v>46</v>
      </c>
      <c r="M4" s="5" t="s">
        <v>17</v>
      </c>
      <c r="N4" s="5" t="s">
        <v>47</v>
      </c>
      <c r="O4" s="5" t="s">
        <v>20</v>
      </c>
      <c r="P4" s="5" t="s">
        <v>48</v>
      </c>
    </row>
    <row r="5" spans="1:16" ht="57.6" x14ac:dyDescent="0.3">
      <c r="A5" s="1" t="s">
        <v>1124</v>
      </c>
      <c r="B5" s="1" t="s">
        <v>577</v>
      </c>
      <c r="C5" s="1" t="s">
        <v>1125</v>
      </c>
      <c r="D5" s="1" t="s">
        <v>1126</v>
      </c>
      <c r="E5" s="1" t="s">
        <v>1127</v>
      </c>
      <c r="F5" s="1" t="s">
        <v>25</v>
      </c>
      <c r="G5" s="1" t="s">
        <v>1128</v>
      </c>
      <c r="H5" s="1" t="s">
        <v>24</v>
      </c>
      <c r="I5" s="1" t="s">
        <v>1129</v>
      </c>
      <c r="J5" s="1" t="s">
        <v>1130</v>
      </c>
      <c r="K5" s="1" t="s">
        <v>1131</v>
      </c>
      <c r="L5" s="1" t="s">
        <v>59</v>
      </c>
      <c r="M5" s="8" t="s">
        <v>23</v>
      </c>
      <c r="N5" s="8" t="s">
        <v>59</v>
      </c>
      <c r="O5" s="1" t="s">
        <v>59</v>
      </c>
      <c r="P5" s="1" t="s">
        <v>60</v>
      </c>
    </row>
    <row r="6" spans="1:16" ht="43.2" x14ac:dyDescent="0.3">
      <c r="A6" s="1" t="s">
        <v>1132</v>
      </c>
      <c r="B6" s="1" t="s">
        <v>577</v>
      </c>
      <c r="C6" s="1" t="s">
        <v>1125</v>
      </c>
      <c r="D6" s="1" t="s">
        <v>1133</v>
      </c>
      <c r="E6" s="1" t="s">
        <v>1134</v>
      </c>
      <c r="F6" s="1" t="s">
        <v>25</v>
      </c>
      <c r="G6" s="1" t="s">
        <v>977</v>
      </c>
      <c r="H6" s="1" t="s">
        <v>27</v>
      </c>
      <c r="I6" s="1" t="s">
        <v>1135</v>
      </c>
      <c r="J6" s="1" t="s">
        <v>1136</v>
      </c>
      <c r="K6" s="1" t="s">
        <v>1137</v>
      </c>
      <c r="L6" s="1" t="s">
        <v>59</v>
      </c>
      <c r="M6" s="8" t="s">
        <v>23</v>
      </c>
      <c r="N6" s="8" t="s">
        <v>59</v>
      </c>
      <c r="O6" s="1" t="s">
        <v>59</v>
      </c>
      <c r="P6" s="1" t="s">
        <v>88</v>
      </c>
    </row>
    <row r="7" spans="1:16" ht="57.6" x14ac:dyDescent="0.3">
      <c r="A7" s="1" t="s">
        <v>1138</v>
      </c>
      <c r="B7" s="1" t="s">
        <v>577</v>
      </c>
      <c r="C7" s="1" t="s">
        <v>1125</v>
      </c>
      <c r="D7" s="1" t="s">
        <v>1139</v>
      </c>
      <c r="E7" s="1" t="s">
        <v>1140</v>
      </c>
      <c r="F7" s="1" t="s">
        <v>25</v>
      </c>
      <c r="G7" s="1" t="s">
        <v>1141</v>
      </c>
      <c r="H7" s="1" t="s">
        <v>24</v>
      </c>
      <c r="I7" s="1" t="s">
        <v>1142</v>
      </c>
      <c r="J7" s="1" t="s">
        <v>1143</v>
      </c>
      <c r="K7" s="1" t="s">
        <v>1144</v>
      </c>
      <c r="L7" s="1" t="s">
        <v>59</v>
      </c>
      <c r="M7" s="8" t="s">
        <v>23</v>
      </c>
      <c r="N7" s="8" t="s">
        <v>59</v>
      </c>
      <c r="O7" s="1" t="s">
        <v>59</v>
      </c>
      <c r="P7" s="1" t="s">
        <v>88</v>
      </c>
    </row>
    <row r="8" spans="1:16" ht="43.2" x14ac:dyDescent="0.3">
      <c r="A8" s="1" t="s">
        <v>1145</v>
      </c>
      <c r="B8" s="1" t="s">
        <v>577</v>
      </c>
      <c r="C8" s="1" t="s">
        <v>1125</v>
      </c>
      <c r="D8" s="1" t="s">
        <v>1146</v>
      </c>
      <c r="E8" s="1" t="s">
        <v>1147</v>
      </c>
      <c r="F8" s="1" t="s">
        <v>30</v>
      </c>
      <c r="G8" s="1" t="s">
        <v>1141</v>
      </c>
      <c r="H8" s="1" t="s">
        <v>27</v>
      </c>
      <c r="I8" s="1" t="s">
        <v>1148</v>
      </c>
      <c r="J8" s="1" t="s">
        <v>1149</v>
      </c>
      <c r="K8" s="1" t="s">
        <v>1150</v>
      </c>
      <c r="L8" s="1" t="s">
        <v>59</v>
      </c>
      <c r="M8" s="8" t="s">
        <v>23</v>
      </c>
      <c r="N8" s="8" t="s">
        <v>59</v>
      </c>
      <c r="O8" s="1" t="s">
        <v>59</v>
      </c>
      <c r="P8" s="1" t="s">
        <v>60</v>
      </c>
    </row>
    <row r="9" spans="1:16" ht="57.6" x14ac:dyDescent="0.3">
      <c r="A9" s="1" t="s">
        <v>1151</v>
      </c>
      <c r="B9" s="1" t="s">
        <v>577</v>
      </c>
      <c r="C9" s="1" t="s">
        <v>1125</v>
      </c>
      <c r="D9" s="1" t="s">
        <v>1152</v>
      </c>
      <c r="E9" s="1" t="s">
        <v>1153</v>
      </c>
      <c r="F9" s="1" t="s">
        <v>25</v>
      </c>
      <c r="G9" s="1" t="s">
        <v>977</v>
      </c>
      <c r="H9" s="1" t="s">
        <v>24</v>
      </c>
      <c r="I9" s="1" t="s">
        <v>1154</v>
      </c>
      <c r="J9" s="1" t="s">
        <v>1155</v>
      </c>
      <c r="K9" s="1" t="s">
        <v>1156</v>
      </c>
      <c r="L9" s="1" t="s">
        <v>59</v>
      </c>
      <c r="M9" s="8" t="s">
        <v>23</v>
      </c>
      <c r="N9" s="8" t="s">
        <v>59</v>
      </c>
      <c r="O9" s="1" t="s">
        <v>59</v>
      </c>
      <c r="P9" s="1" t="s">
        <v>81</v>
      </c>
    </row>
    <row r="10" spans="1:16" ht="57.6" x14ac:dyDescent="0.3">
      <c r="A10" s="1" t="s">
        <v>1157</v>
      </c>
      <c r="B10" s="1" t="s">
        <v>577</v>
      </c>
      <c r="C10" s="1" t="s">
        <v>1125</v>
      </c>
      <c r="D10" s="1" t="s">
        <v>1158</v>
      </c>
      <c r="E10" s="1" t="s">
        <v>1159</v>
      </c>
      <c r="F10" s="1" t="s">
        <v>25</v>
      </c>
      <c r="G10" s="1" t="s">
        <v>977</v>
      </c>
      <c r="H10" s="1" t="s">
        <v>24</v>
      </c>
      <c r="I10" s="1" t="s">
        <v>1160</v>
      </c>
      <c r="J10" s="1" t="s">
        <v>1161</v>
      </c>
      <c r="K10" s="1" t="s">
        <v>1162</v>
      </c>
      <c r="L10" s="1" t="s">
        <v>59</v>
      </c>
      <c r="M10" s="8" t="s">
        <v>23</v>
      </c>
      <c r="N10" s="8" t="s">
        <v>59</v>
      </c>
      <c r="O10" s="1" t="s">
        <v>59</v>
      </c>
      <c r="P10" s="1" t="s">
        <v>60</v>
      </c>
    </row>
    <row r="11" spans="1:16" ht="57.6" x14ac:dyDescent="0.3">
      <c r="A11" s="1" t="s">
        <v>1163</v>
      </c>
      <c r="B11" s="1" t="s">
        <v>577</v>
      </c>
      <c r="C11" s="1" t="s">
        <v>1125</v>
      </c>
      <c r="D11" s="1" t="s">
        <v>1164</v>
      </c>
      <c r="E11" s="1" t="s">
        <v>1165</v>
      </c>
      <c r="F11" s="1" t="s">
        <v>25</v>
      </c>
      <c r="G11" s="1" t="s">
        <v>977</v>
      </c>
      <c r="H11" s="1" t="s">
        <v>27</v>
      </c>
      <c r="I11" s="1" t="s">
        <v>1135</v>
      </c>
      <c r="J11" s="1" t="s">
        <v>1166</v>
      </c>
      <c r="K11" s="1" t="s">
        <v>1167</v>
      </c>
      <c r="L11" s="1" t="s">
        <v>59</v>
      </c>
      <c r="M11" s="8" t="s">
        <v>23</v>
      </c>
      <c r="N11" s="8" t="s">
        <v>59</v>
      </c>
      <c r="O11" s="1" t="s">
        <v>59</v>
      </c>
      <c r="P11" s="1" t="s">
        <v>263</v>
      </c>
    </row>
    <row r="12" spans="1:16" ht="57.6" x14ac:dyDescent="0.3">
      <c r="A12" s="1" t="s">
        <v>1168</v>
      </c>
      <c r="B12" s="1" t="s">
        <v>577</v>
      </c>
      <c r="C12" s="1" t="s">
        <v>1125</v>
      </c>
      <c r="D12" s="1" t="s">
        <v>1169</v>
      </c>
      <c r="E12" s="1" t="s">
        <v>1170</v>
      </c>
      <c r="F12" s="1" t="s">
        <v>31</v>
      </c>
      <c r="G12" s="1" t="s">
        <v>977</v>
      </c>
      <c r="H12" s="1" t="s">
        <v>24</v>
      </c>
      <c r="I12" s="1" t="s">
        <v>1171</v>
      </c>
      <c r="J12" s="1" t="s">
        <v>1172</v>
      </c>
      <c r="K12" s="1" t="s">
        <v>1173</v>
      </c>
      <c r="L12" s="1" t="s">
        <v>59</v>
      </c>
      <c r="M12" s="8" t="s">
        <v>23</v>
      </c>
      <c r="N12" s="8" t="s">
        <v>59</v>
      </c>
      <c r="O12" s="1" t="s">
        <v>59</v>
      </c>
      <c r="P12" s="1" t="s">
        <v>81</v>
      </c>
    </row>
    <row r="13" spans="1:16" ht="43.2" x14ac:dyDescent="0.3">
      <c r="A13" s="1" t="s">
        <v>1174</v>
      </c>
      <c r="B13" s="1" t="s">
        <v>577</v>
      </c>
      <c r="C13" s="1" t="s">
        <v>1125</v>
      </c>
      <c r="D13" s="1" t="s">
        <v>387</v>
      </c>
      <c r="E13" s="1" t="s">
        <v>1175</v>
      </c>
      <c r="F13" s="1" t="s">
        <v>30</v>
      </c>
      <c r="G13" s="1" t="s">
        <v>173</v>
      </c>
      <c r="H13" s="1" t="s">
        <v>24</v>
      </c>
      <c r="I13" s="1" t="s">
        <v>1176</v>
      </c>
      <c r="J13" s="1" t="s">
        <v>1177</v>
      </c>
      <c r="K13" s="1" t="s">
        <v>1178</v>
      </c>
      <c r="L13" s="1" t="s">
        <v>59</v>
      </c>
      <c r="M13" s="8" t="s">
        <v>23</v>
      </c>
      <c r="N13" s="8" t="s">
        <v>59</v>
      </c>
      <c r="O13" s="1" t="s">
        <v>59</v>
      </c>
      <c r="P13" s="1" t="s">
        <v>101</v>
      </c>
    </row>
  </sheetData>
  <mergeCells count="2">
    <mergeCell ref="A2:H2"/>
    <mergeCell ref="A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xr:uid="{00000000-0002-0000-1500-000000000000}">
          <x14:formula1>
            <xm:f>Referensi!$A$1:$A$6</xm:f>
          </x14:formula1>
          <xm:sqref>M5:M8</xm:sqref>
        </x14:dataValidation>
        <x14:dataValidation type="list" allowBlank="1" xr:uid="{00000000-0002-0000-1500-000001000000}">
          <x14:formula1>
            <xm:f>Referensi!$B$1:$B$3</xm:f>
          </x14:formula1>
          <xm:sqref>H5:H8</xm:sqref>
        </x14:dataValidation>
        <x14:dataValidation type="list" allowBlank="1" xr:uid="{00000000-0002-0000-1500-000002000000}">
          <x14:formula1>
            <xm:f>Referensi!$C$1:$C$4</xm:f>
          </x14:formula1>
          <xm:sqref>F5:F8</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16"/>
  <sheetViews>
    <sheetView showGridLines="0" workbookViewId="0"/>
  </sheetViews>
  <sheetFormatPr defaultRowHeight="14.4" x14ac:dyDescent="0.3"/>
  <cols>
    <col min="1" max="1" width="14" customWidth="1"/>
    <col min="2" max="2" width="16" customWidth="1"/>
    <col min="3" max="3" width="24" customWidth="1"/>
    <col min="4" max="4" width="22" customWidth="1"/>
    <col min="5" max="5" width="34" customWidth="1"/>
    <col min="6" max="6" width="14" customWidth="1"/>
    <col min="7" max="7" width="20" customWidth="1"/>
    <col min="8" max="8" width="10" customWidth="1"/>
    <col min="9" max="9" width="28" customWidth="1"/>
    <col min="10" max="10" width="46" customWidth="1"/>
    <col min="11" max="11" width="42" customWidth="1"/>
    <col min="12" max="12" width="20" customWidth="1"/>
    <col min="13" max="13" width="14" customWidth="1"/>
    <col min="14" max="15" width="26" customWidth="1"/>
    <col min="16" max="16" width="34" customWidth="1"/>
  </cols>
  <sheetData>
    <row r="1" spans="1:16" ht="24" customHeight="1" x14ac:dyDescent="0.3">
      <c r="A1" s="17" t="s">
        <v>2270</v>
      </c>
      <c r="B1" s="16"/>
      <c r="C1" s="16"/>
      <c r="D1" s="16"/>
      <c r="E1" s="16"/>
      <c r="F1" s="16"/>
      <c r="G1" s="16"/>
      <c r="H1" s="16"/>
    </row>
    <row r="2" spans="1:16" ht="36" customHeight="1" x14ac:dyDescent="0.3">
      <c r="A2" s="15" t="s">
        <v>34</v>
      </c>
      <c r="B2" s="16"/>
      <c r="C2" s="16"/>
      <c r="D2" s="16"/>
      <c r="E2" s="16"/>
      <c r="F2" s="16"/>
      <c r="G2" s="16"/>
      <c r="H2" s="16"/>
    </row>
    <row r="4" spans="1:16" x14ac:dyDescent="0.3">
      <c r="A4" s="5" t="s">
        <v>35</v>
      </c>
      <c r="B4" s="5" t="s">
        <v>36</v>
      </c>
      <c r="C4" s="5" t="s">
        <v>37</v>
      </c>
      <c r="D4" s="5" t="s">
        <v>38</v>
      </c>
      <c r="E4" s="5" t="s">
        <v>39</v>
      </c>
      <c r="F4" s="5" t="s">
        <v>40</v>
      </c>
      <c r="G4" s="5" t="s">
        <v>41</v>
      </c>
      <c r="H4" s="5" t="s">
        <v>42</v>
      </c>
      <c r="I4" s="5" t="s">
        <v>43</v>
      </c>
      <c r="J4" s="5" t="s">
        <v>44</v>
      </c>
      <c r="K4" s="5" t="s">
        <v>45</v>
      </c>
      <c r="L4" s="5" t="s">
        <v>46</v>
      </c>
      <c r="M4" s="5" t="s">
        <v>17</v>
      </c>
      <c r="N4" s="5" t="s">
        <v>47</v>
      </c>
      <c r="O4" s="5" t="s">
        <v>20</v>
      </c>
      <c r="P4" s="5" t="s">
        <v>48</v>
      </c>
    </row>
    <row r="5" spans="1:16" ht="57.6" x14ac:dyDescent="0.3">
      <c r="A5" s="1" t="s">
        <v>1179</v>
      </c>
      <c r="B5" s="1" t="s">
        <v>1180</v>
      </c>
      <c r="C5" s="1" t="s">
        <v>1181</v>
      </c>
      <c r="D5" s="1" t="s">
        <v>1182</v>
      </c>
      <c r="E5" s="1" t="s">
        <v>1183</v>
      </c>
      <c r="F5" s="1" t="s">
        <v>25</v>
      </c>
      <c r="G5" s="1" t="s">
        <v>1184</v>
      </c>
      <c r="H5" s="1" t="s">
        <v>24</v>
      </c>
      <c r="I5" s="1" t="s">
        <v>1185</v>
      </c>
      <c r="J5" s="1" t="s">
        <v>1186</v>
      </c>
      <c r="K5" s="1" t="s">
        <v>1187</v>
      </c>
      <c r="L5" s="1" t="s">
        <v>59</v>
      </c>
      <c r="M5" s="8" t="s">
        <v>23</v>
      </c>
      <c r="N5" s="8" t="s">
        <v>59</v>
      </c>
      <c r="O5" s="1" t="s">
        <v>59</v>
      </c>
      <c r="P5" s="1" t="s">
        <v>60</v>
      </c>
    </row>
    <row r="6" spans="1:16" ht="43.2" x14ac:dyDescent="0.3">
      <c r="A6" s="1" t="s">
        <v>1188</v>
      </c>
      <c r="B6" s="1" t="s">
        <v>1180</v>
      </c>
      <c r="C6" s="1" t="s">
        <v>1181</v>
      </c>
      <c r="D6" s="1" t="s">
        <v>1189</v>
      </c>
      <c r="E6" s="1" t="s">
        <v>1190</v>
      </c>
      <c r="F6" s="1" t="s">
        <v>25</v>
      </c>
      <c r="G6" s="1" t="s">
        <v>1184</v>
      </c>
      <c r="H6" s="1" t="s">
        <v>24</v>
      </c>
      <c r="I6" s="1" t="s">
        <v>1191</v>
      </c>
      <c r="J6" s="1" t="s">
        <v>1192</v>
      </c>
      <c r="K6" s="1" t="s">
        <v>1193</v>
      </c>
      <c r="L6" s="1" t="s">
        <v>59</v>
      </c>
      <c r="M6" s="8" t="s">
        <v>23</v>
      </c>
      <c r="N6" s="8" t="s">
        <v>59</v>
      </c>
      <c r="O6" s="1" t="s">
        <v>59</v>
      </c>
      <c r="P6" s="1" t="s">
        <v>60</v>
      </c>
    </row>
    <row r="7" spans="1:16" ht="57.6" x14ac:dyDescent="0.3">
      <c r="A7" s="1" t="s">
        <v>1194</v>
      </c>
      <c r="B7" s="1" t="s">
        <v>1180</v>
      </c>
      <c r="C7" s="1" t="s">
        <v>1181</v>
      </c>
      <c r="D7" s="1" t="s">
        <v>1195</v>
      </c>
      <c r="E7" s="1" t="s">
        <v>1196</v>
      </c>
      <c r="F7" s="1" t="s">
        <v>30</v>
      </c>
      <c r="G7" s="1" t="s">
        <v>416</v>
      </c>
      <c r="H7" s="1" t="s">
        <v>24</v>
      </c>
      <c r="I7" s="1" t="s">
        <v>1197</v>
      </c>
      <c r="J7" s="1" t="s">
        <v>1198</v>
      </c>
      <c r="K7" s="1" t="s">
        <v>1199</v>
      </c>
      <c r="L7" s="1" t="s">
        <v>59</v>
      </c>
      <c r="M7" s="8" t="s">
        <v>23</v>
      </c>
      <c r="N7" s="8" t="s">
        <v>59</v>
      </c>
      <c r="O7" s="1" t="s">
        <v>59</v>
      </c>
      <c r="P7" s="1" t="s">
        <v>60</v>
      </c>
    </row>
    <row r="8" spans="1:16" ht="57.6" x14ac:dyDescent="0.3">
      <c r="A8" s="1" t="s">
        <v>1200</v>
      </c>
      <c r="B8" s="1" t="s">
        <v>1180</v>
      </c>
      <c r="C8" s="1" t="s">
        <v>1181</v>
      </c>
      <c r="D8" s="1" t="s">
        <v>1201</v>
      </c>
      <c r="E8" s="1" t="s">
        <v>1202</v>
      </c>
      <c r="F8" s="1" t="s">
        <v>25</v>
      </c>
      <c r="G8" s="1" t="s">
        <v>1184</v>
      </c>
      <c r="H8" s="1" t="s">
        <v>27</v>
      </c>
      <c r="I8" s="1" t="s">
        <v>1185</v>
      </c>
      <c r="J8" s="1" t="s">
        <v>1203</v>
      </c>
      <c r="K8" s="1" t="s">
        <v>1204</v>
      </c>
      <c r="L8" s="1" t="s">
        <v>59</v>
      </c>
      <c r="M8" s="8" t="s">
        <v>23</v>
      </c>
      <c r="N8" s="8" t="s">
        <v>59</v>
      </c>
      <c r="O8" s="1" t="s">
        <v>59</v>
      </c>
      <c r="P8" s="1" t="s">
        <v>60</v>
      </c>
    </row>
    <row r="9" spans="1:16" ht="57.6" x14ac:dyDescent="0.3">
      <c r="A9" s="1" t="s">
        <v>1205</v>
      </c>
      <c r="B9" s="1" t="s">
        <v>1180</v>
      </c>
      <c r="C9" s="1" t="s">
        <v>1181</v>
      </c>
      <c r="D9" s="1" t="s">
        <v>1206</v>
      </c>
      <c r="E9" s="1" t="s">
        <v>1207</v>
      </c>
      <c r="F9" s="1" t="s">
        <v>25</v>
      </c>
      <c r="G9" s="1" t="s">
        <v>1184</v>
      </c>
      <c r="H9" s="1" t="s">
        <v>27</v>
      </c>
      <c r="I9" s="1" t="s">
        <v>1185</v>
      </c>
      <c r="J9" s="1" t="s">
        <v>1208</v>
      </c>
      <c r="K9" s="1" t="s">
        <v>1209</v>
      </c>
      <c r="L9" s="1" t="s">
        <v>59</v>
      </c>
      <c r="M9" s="8" t="s">
        <v>23</v>
      </c>
      <c r="N9" s="8" t="s">
        <v>59</v>
      </c>
      <c r="O9" s="1" t="s">
        <v>59</v>
      </c>
      <c r="P9" s="1" t="s">
        <v>60</v>
      </c>
    </row>
    <row r="10" spans="1:16" ht="57.6" x14ac:dyDescent="0.3">
      <c r="A10" s="1" t="s">
        <v>1210</v>
      </c>
      <c r="B10" s="1" t="s">
        <v>1180</v>
      </c>
      <c r="C10" s="1" t="s">
        <v>1181</v>
      </c>
      <c r="D10" s="1" t="s">
        <v>1211</v>
      </c>
      <c r="E10" s="1" t="s">
        <v>1212</v>
      </c>
      <c r="F10" s="1" t="s">
        <v>25</v>
      </c>
      <c r="G10" s="1" t="s">
        <v>1184</v>
      </c>
      <c r="H10" s="1" t="s">
        <v>27</v>
      </c>
      <c r="I10" s="1" t="s">
        <v>1185</v>
      </c>
      <c r="J10" s="1" t="s">
        <v>1213</v>
      </c>
      <c r="K10" s="1" t="s">
        <v>1214</v>
      </c>
      <c r="L10" s="1" t="s">
        <v>59</v>
      </c>
      <c r="M10" s="8" t="s">
        <v>23</v>
      </c>
      <c r="N10" s="8" t="s">
        <v>59</v>
      </c>
      <c r="O10" s="1" t="s">
        <v>59</v>
      </c>
      <c r="P10" s="1" t="s">
        <v>60</v>
      </c>
    </row>
    <row r="11" spans="1:16" ht="57.6" x14ac:dyDescent="0.3">
      <c r="A11" s="1" t="s">
        <v>1215</v>
      </c>
      <c r="B11" s="1" t="s">
        <v>1180</v>
      </c>
      <c r="C11" s="1" t="s">
        <v>1181</v>
      </c>
      <c r="D11" s="1" t="s">
        <v>1216</v>
      </c>
      <c r="E11" s="1" t="s">
        <v>1217</v>
      </c>
      <c r="F11" s="1" t="s">
        <v>25</v>
      </c>
      <c r="G11" s="1" t="s">
        <v>1184</v>
      </c>
      <c r="H11" s="1" t="s">
        <v>24</v>
      </c>
      <c r="I11" s="1" t="s">
        <v>1218</v>
      </c>
      <c r="J11" s="1" t="s">
        <v>1219</v>
      </c>
      <c r="K11" s="1" t="s">
        <v>1220</v>
      </c>
      <c r="L11" s="1" t="s">
        <v>59</v>
      </c>
      <c r="M11" s="8" t="s">
        <v>23</v>
      </c>
      <c r="N11" s="8" t="s">
        <v>59</v>
      </c>
      <c r="O11" s="1" t="s">
        <v>59</v>
      </c>
      <c r="P11" s="1" t="s">
        <v>101</v>
      </c>
    </row>
    <row r="12" spans="1:16" ht="57.6" x14ac:dyDescent="0.3">
      <c r="A12" s="1" t="s">
        <v>1221</v>
      </c>
      <c r="B12" s="1" t="s">
        <v>1180</v>
      </c>
      <c r="C12" s="1" t="s">
        <v>1181</v>
      </c>
      <c r="D12" s="1" t="s">
        <v>1222</v>
      </c>
      <c r="E12" s="1" t="s">
        <v>1223</v>
      </c>
      <c r="F12" s="1" t="s">
        <v>30</v>
      </c>
      <c r="G12" s="1" t="s">
        <v>416</v>
      </c>
      <c r="H12" s="1" t="s">
        <v>24</v>
      </c>
      <c r="I12" s="1" t="s">
        <v>1224</v>
      </c>
      <c r="J12" s="1" t="s">
        <v>1225</v>
      </c>
      <c r="K12" s="1" t="s">
        <v>1226</v>
      </c>
      <c r="L12" s="1" t="s">
        <v>59</v>
      </c>
      <c r="M12" s="8" t="s">
        <v>23</v>
      </c>
      <c r="N12" s="8" t="s">
        <v>59</v>
      </c>
      <c r="O12" s="1" t="s">
        <v>59</v>
      </c>
      <c r="P12" s="1" t="s">
        <v>81</v>
      </c>
    </row>
    <row r="13" spans="1:16" ht="57.6" x14ac:dyDescent="0.3">
      <c r="A13" s="1" t="s">
        <v>1227</v>
      </c>
      <c r="B13" s="1" t="s">
        <v>1180</v>
      </c>
      <c r="C13" s="1" t="s">
        <v>1181</v>
      </c>
      <c r="D13" s="1" t="s">
        <v>1228</v>
      </c>
      <c r="E13" s="1" t="s">
        <v>1229</v>
      </c>
      <c r="F13" s="1" t="s">
        <v>25</v>
      </c>
      <c r="G13" s="1" t="s">
        <v>416</v>
      </c>
      <c r="H13" s="1" t="s">
        <v>27</v>
      </c>
      <c r="I13" s="1" t="s">
        <v>1230</v>
      </c>
      <c r="J13" s="1" t="s">
        <v>1231</v>
      </c>
      <c r="K13" s="1" t="s">
        <v>1232</v>
      </c>
      <c r="L13" s="1" t="s">
        <v>59</v>
      </c>
      <c r="M13" s="8" t="s">
        <v>23</v>
      </c>
      <c r="N13" s="8" t="s">
        <v>59</v>
      </c>
      <c r="O13" s="1" t="s">
        <v>59</v>
      </c>
      <c r="P13" s="1" t="s">
        <v>263</v>
      </c>
    </row>
    <row r="14" spans="1:16" ht="57.6" x14ac:dyDescent="0.3">
      <c r="A14" s="1" t="s">
        <v>1233</v>
      </c>
      <c r="B14" s="1" t="s">
        <v>1180</v>
      </c>
      <c r="C14" s="1" t="s">
        <v>1181</v>
      </c>
      <c r="D14" s="1" t="s">
        <v>1234</v>
      </c>
      <c r="E14" s="1" t="s">
        <v>1235</v>
      </c>
      <c r="F14" s="1" t="s">
        <v>25</v>
      </c>
      <c r="G14" s="1" t="s">
        <v>416</v>
      </c>
      <c r="H14" s="1" t="s">
        <v>27</v>
      </c>
      <c r="I14" s="1" t="s">
        <v>1236</v>
      </c>
      <c r="J14" s="1" t="s">
        <v>1237</v>
      </c>
      <c r="K14" s="1" t="s">
        <v>1238</v>
      </c>
      <c r="L14" s="1" t="s">
        <v>59</v>
      </c>
      <c r="M14" s="8" t="s">
        <v>23</v>
      </c>
      <c r="N14" s="8" t="s">
        <v>59</v>
      </c>
      <c r="O14" s="1" t="s">
        <v>59</v>
      </c>
      <c r="P14" s="1" t="s">
        <v>60</v>
      </c>
    </row>
    <row r="15" spans="1:16" ht="57.6" x14ac:dyDescent="0.3">
      <c r="A15" s="1" t="s">
        <v>1239</v>
      </c>
      <c r="B15" s="1" t="s">
        <v>1180</v>
      </c>
      <c r="C15" s="1" t="s">
        <v>1181</v>
      </c>
      <c r="D15" s="1" t="s">
        <v>1240</v>
      </c>
      <c r="E15" s="1" t="s">
        <v>1241</v>
      </c>
      <c r="F15" s="1" t="s">
        <v>31</v>
      </c>
      <c r="G15" s="1" t="s">
        <v>416</v>
      </c>
      <c r="H15" s="1" t="s">
        <v>27</v>
      </c>
      <c r="I15" s="1" t="s">
        <v>1242</v>
      </c>
      <c r="J15" s="1" t="s">
        <v>1243</v>
      </c>
      <c r="K15" s="1" t="s">
        <v>1244</v>
      </c>
      <c r="L15" s="1" t="s">
        <v>59</v>
      </c>
      <c r="M15" s="8" t="s">
        <v>23</v>
      </c>
      <c r="N15" s="8" t="s">
        <v>59</v>
      </c>
      <c r="O15" s="1" t="s">
        <v>59</v>
      </c>
      <c r="P15" s="1" t="s">
        <v>263</v>
      </c>
    </row>
    <row r="16" spans="1:16" ht="43.2" x14ac:dyDescent="0.3">
      <c r="A16" s="1" t="s">
        <v>1245</v>
      </c>
      <c r="B16" s="1" t="s">
        <v>1180</v>
      </c>
      <c r="C16" s="1" t="s">
        <v>1181</v>
      </c>
      <c r="D16" s="1" t="s">
        <v>1246</v>
      </c>
      <c r="E16" s="1" t="s">
        <v>1247</v>
      </c>
      <c r="F16" s="1" t="s">
        <v>31</v>
      </c>
      <c r="G16" s="1" t="s">
        <v>416</v>
      </c>
      <c r="H16" s="1" t="s">
        <v>27</v>
      </c>
      <c r="I16" s="1" t="s">
        <v>1248</v>
      </c>
      <c r="J16" s="1" t="s">
        <v>1249</v>
      </c>
      <c r="K16" s="1" t="s">
        <v>1250</v>
      </c>
      <c r="L16" s="1" t="s">
        <v>59</v>
      </c>
      <c r="M16" s="8" t="s">
        <v>23</v>
      </c>
      <c r="N16" s="8" t="s">
        <v>59</v>
      </c>
      <c r="O16" s="1" t="s">
        <v>59</v>
      </c>
      <c r="P16" s="1" t="s">
        <v>263</v>
      </c>
    </row>
  </sheetData>
  <mergeCells count="2">
    <mergeCell ref="A2:H2"/>
    <mergeCell ref="A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xr:uid="{00000000-0002-0000-1600-000000000000}">
          <x14:formula1>
            <xm:f>Referensi!$A$1:$A$6</xm:f>
          </x14:formula1>
          <xm:sqref>M5:M10</xm:sqref>
        </x14:dataValidation>
        <x14:dataValidation type="list" allowBlank="1" xr:uid="{00000000-0002-0000-1600-000001000000}">
          <x14:formula1>
            <xm:f>Referensi!$B$1:$B$3</xm:f>
          </x14:formula1>
          <xm:sqref>H5:H10</xm:sqref>
        </x14:dataValidation>
        <x14:dataValidation type="list" allowBlank="1" xr:uid="{00000000-0002-0000-1600-000002000000}">
          <x14:formula1>
            <xm:f>Referensi!$C$1:$C$4</xm:f>
          </x14:formula1>
          <xm:sqref>F5:F10</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14"/>
  <sheetViews>
    <sheetView showGridLines="0" workbookViewId="0"/>
  </sheetViews>
  <sheetFormatPr defaultRowHeight="14.4" x14ac:dyDescent="0.3"/>
  <cols>
    <col min="1" max="1" width="14" customWidth="1"/>
    <col min="2" max="2" width="16" customWidth="1"/>
    <col min="3" max="3" width="24" customWidth="1"/>
    <col min="4" max="4" width="22" customWidth="1"/>
    <col min="5" max="5" width="34" customWidth="1"/>
    <col min="6" max="6" width="14" customWidth="1"/>
    <col min="7" max="7" width="20" customWidth="1"/>
    <col min="8" max="8" width="10" customWidth="1"/>
    <col min="9" max="9" width="28" customWidth="1"/>
    <col min="10" max="10" width="46" customWidth="1"/>
    <col min="11" max="11" width="42" customWidth="1"/>
    <col min="12" max="12" width="20" customWidth="1"/>
    <col min="13" max="13" width="14" customWidth="1"/>
    <col min="14" max="15" width="26" customWidth="1"/>
    <col min="16" max="16" width="34" customWidth="1"/>
  </cols>
  <sheetData>
    <row r="1" spans="1:16" ht="24" customHeight="1" x14ac:dyDescent="0.3">
      <c r="A1" s="17" t="s">
        <v>2271</v>
      </c>
      <c r="B1" s="16"/>
      <c r="C1" s="16"/>
      <c r="D1" s="16"/>
      <c r="E1" s="16"/>
      <c r="F1" s="16"/>
      <c r="G1" s="16"/>
      <c r="H1" s="16"/>
    </row>
    <row r="2" spans="1:16" ht="36" customHeight="1" x14ac:dyDescent="0.3">
      <c r="A2" s="15" t="s">
        <v>34</v>
      </c>
      <c r="B2" s="16"/>
      <c r="C2" s="16"/>
      <c r="D2" s="16"/>
      <c r="E2" s="16"/>
      <c r="F2" s="16"/>
      <c r="G2" s="16"/>
      <c r="H2" s="16"/>
    </row>
    <row r="4" spans="1:16" x14ac:dyDescent="0.3">
      <c r="A4" s="5" t="s">
        <v>35</v>
      </c>
      <c r="B4" s="5" t="s">
        <v>36</v>
      </c>
      <c r="C4" s="5" t="s">
        <v>37</v>
      </c>
      <c r="D4" s="5" t="s">
        <v>38</v>
      </c>
      <c r="E4" s="5" t="s">
        <v>39</v>
      </c>
      <c r="F4" s="5" t="s">
        <v>40</v>
      </c>
      <c r="G4" s="5" t="s">
        <v>41</v>
      </c>
      <c r="H4" s="5" t="s">
        <v>42</v>
      </c>
      <c r="I4" s="5" t="s">
        <v>43</v>
      </c>
      <c r="J4" s="5" t="s">
        <v>44</v>
      </c>
      <c r="K4" s="5" t="s">
        <v>45</v>
      </c>
      <c r="L4" s="5" t="s">
        <v>46</v>
      </c>
      <c r="M4" s="5" t="s">
        <v>17</v>
      </c>
      <c r="N4" s="5" t="s">
        <v>47</v>
      </c>
      <c r="O4" s="5" t="s">
        <v>20</v>
      </c>
      <c r="P4" s="5" t="s">
        <v>48</v>
      </c>
    </row>
    <row r="5" spans="1:16" ht="57.6" x14ac:dyDescent="0.3">
      <c r="A5" s="1" t="s">
        <v>1251</v>
      </c>
      <c r="B5" s="1" t="s">
        <v>1180</v>
      </c>
      <c r="C5" s="1" t="s">
        <v>1252</v>
      </c>
      <c r="D5" s="1" t="s">
        <v>1253</v>
      </c>
      <c r="E5" s="1" t="s">
        <v>1254</v>
      </c>
      <c r="F5" s="1" t="s">
        <v>25</v>
      </c>
      <c r="G5" s="1" t="s">
        <v>1255</v>
      </c>
      <c r="H5" s="1" t="s">
        <v>24</v>
      </c>
      <c r="I5" s="1" t="s">
        <v>1256</v>
      </c>
      <c r="J5" s="1" t="s">
        <v>1257</v>
      </c>
      <c r="K5" s="1" t="s">
        <v>1258</v>
      </c>
      <c r="L5" s="1" t="s">
        <v>59</v>
      </c>
      <c r="M5" s="8" t="s">
        <v>23</v>
      </c>
      <c r="N5" s="8" t="s">
        <v>59</v>
      </c>
      <c r="O5" s="1" t="s">
        <v>59</v>
      </c>
      <c r="P5" s="1" t="s">
        <v>60</v>
      </c>
    </row>
    <row r="6" spans="1:16" ht="86.4" x14ac:dyDescent="0.3">
      <c r="A6" s="1" t="s">
        <v>1259</v>
      </c>
      <c r="B6" s="1" t="s">
        <v>1180</v>
      </c>
      <c r="C6" s="1" t="s">
        <v>1252</v>
      </c>
      <c r="D6" s="1" t="s">
        <v>1260</v>
      </c>
      <c r="E6" s="1" t="s">
        <v>1261</v>
      </c>
      <c r="F6" s="1" t="s">
        <v>25</v>
      </c>
      <c r="G6" s="1" t="s">
        <v>1255</v>
      </c>
      <c r="H6" s="1" t="s">
        <v>24</v>
      </c>
      <c r="I6" s="1" t="s">
        <v>1262</v>
      </c>
      <c r="J6" s="1" t="s">
        <v>1263</v>
      </c>
      <c r="K6" s="1" t="s">
        <v>1264</v>
      </c>
      <c r="L6" s="1" t="s">
        <v>59</v>
      </c>
      <c r="M6" s="8" t="s">
        <v>23</v>
      </c>
      <c r="N6" s="8" t="s">
        <v>59</v>
      </c>
      <c r="O6" s="1" t="s">
        <v>59</v>
      </c>
      <c r="P6" s="1" t="s">
        <v>60</v>
      </c>
    </row>
    <row r="7" spans="1:16" ht="43.2" x14ac:dyDescent="0.3">
      <c r="A7" s="1" t="s">
        <v>1265</v>
      </c>
      <c r="B7" s="1" t="s">
        <v>1180</v>
      </c>
      <c r="C7" s="1" t="s">
        <v>1252</v>
      </c>
      <c r="D7" s="1" t="s">
        <v>1266</v>
      </c>
      <c r="E7" s="1" t="s">
        <v>1267</v>
      </c>
      <c r="F7" s="1" t="s">
        <v>30</v>
      </c>
      <c r="G7" s="1" t="s">
        <v>180</v>
      </c>
      <c r="H7" s="1" t="s">
        <v>24</v>
      </c>
      <c r="I7" s="1" t="s">
        <v>1268</v>
      </c>
      <c r="J7" s="1" t="s">
        <v>1269</v>
      </c>
      <c r="K7" s="1" t="s">
        <v>1270</v>
      </c>
      <c r="L7" s="1" t="s">
        <v>59</v>
      </c>
      <c r="M7" s="8" t="s">
        <v>23</v>
      </c>
      <c r="N7" s="8" t="s">
        <v>59</v>
      </c>
      <c r="O7" s="1" t="s">
        <v>59</v>
      </c>
      <c r="P7" s="1" t="s">
        <v>88</v>
      </c>
    </row>
    <row r="8" spans="1:16" ht="72" x14ac:dyDescent="0.3">
      <c r="A8" s="1" t="s">
        <v>1271</v>
      </c>
      <c r="B8" s="1" t="s">
        <v>1180</v>
      </c>
      <c r="C8" s="1" t="s">
        <v>1252</v>
      </c>
      <c r="D8" s="1" t="s">
        <v>1272</v>
      </c>
      <c r="E8" s="1" t="s">
        <v>1273</v>
      </c>
      <c r="F8" s="1" t="s">
        <v>31</v>
      </c>
      <c r="G8" s="1" t="s">
        <v>1255</v>
      </c>
      <c r="H8" s="1" t="s">
        <v>27</v>
      </c>
      <c r="I8" s="1" t="s">
        <v>1274</v>
      </c>
      <c r="J8" s="1" t="s">
        <v>1275</v>
      </c>
      <c r="K8" s="1" t="s">
        <v>1276</v>
      </c>
      <c r="L8" s="1" t="s">
        <v>59</v>
      </c>
      <c r="M8" s="8" t="s">
        <v>23</v>
      </c>
      <c r="N8" s="8" t="s">
        <v>59</v>
      </c>
      <c r="O8" s="1" t="s">
        <v>59</v>
      </c>
      <c r="P8" s="1" t="s">
        <v>60</v>
      </c>
    </row>
    <row r="9" spans="1:16" ht="57.6" x14ac:dyDescent="0.3">
      <c r="A9" s="1" t="s">
        <v>1277</v>
      </c>
      <c r="B9" s="1" t="s">
        <v>1180</v>
      </c>
      <c r="C9" s="1" t="s">
        <v>1252</v>
      </c>
      <c r="D9" s="1" t="s">
        <v>1278</v>
      </c>
      <c r="E9" s="1" t="s">
        <v>1279</v>
      </c>
      <c r="F9" s="1" t="s">
        <v>25</v>
      </c>
      <c r="G9" s="1" t="s">
        <v>1255</v>
      </c>
      <c r="H9" s="1" t="s">
        <v>24</v>
      </c>
      <c r="I9" s="1" t="s">
        <v>1280</v>
      </c>
      <c r="J9" s="1" t="s">
        <v>1281</v>
      </c>
      <c r="K9" s="1" t="s">
        <v>1282</v>
      </c>
      <c r="L9" s="1" t="s">
        <v>59</v>
      </c>
      <c r="M9" s="8" t="s">
        <v>23</v>
      </c>
      <c r="N9" s="8" t="s">
        <v>59</v>
      </c>
      <c r="O9" s="1" t="s">
        <v>59</v>
      </c>
      <c r="P9" s="1" t="s">
        <v>263</v>
      </c>
    </row>
    <row r="10" spans="1:16" ht="57.6" x14ac:dyDescent="0.3">
      <c r="A10" s="1" t="s">
        <v>1283</v>
      </c>
      <c r="B10" s="1" t="s">
        <v>1180</v>
      </c>
      <c r="C10" s="1" t="s">
        <v>1252</v>
      </c>
      <c r="D10" s="1" t="s">
        <v>1284</v>
      </c>
      <c r="E10" s="1" t="s">
        <v>1285</v>
      </c>
      <c r="F10" s="1" t="s">
        <v>25</v>
      </c>
      <c r="G10" s="1" t="s">
        <v>1255</v>
      </c>
      <c r="H10" s="1" t="s">
        <v>24</v>
      </c>
      <c r="I10" s="1" t="s">
        <v>1286</v>
      </c>
      <c r="J10" s="1" t="s">
        <v>1287</v>
      </c>
      <c r="K10" s="1" t="s">
        <v>1288</v>
      </c>
      <c r="L10" s="1" t="s">
        <v>59</v>
      </c>
      <c r="M10" s="8" t="s">
        <v>23</v>
      </c>
      <c r="N10" s="8" t="s">
        <v>59</v>
      </c>
      <c r="O10" s="1" t="s">
        <v>59</v>
      </c>
      <c r="P10" s="1" t="s">
        <v>81</v>
      </c>
    </row>
    <row r="11" spans="1:16" ht="57.6" x14ac:dyDescent="0.3">
      <c r="A11" s="1" t="s">
        <v>1289</v>
      </c>
      <c r="B11" s="1" t="s">
        <v>1180</v>
      </c>
      <c r="C11" s="1" t="s">
        <v>1252</v>
      </c>
      <c r="D11" s="1" t="s">
        <v>1290</v>
      </c>
      <c r="E11" s="1" t="s">
        <v>1291</v>
      </c>
      <c r="F11" s="1" t="s">
        <v>31</v>
      </c>
      <c r="G11" s="1" t="s">
        <v>1255</v>
      </c>
      <c r="H11" s="1" t="s">
        <v>24</v>
      </c>
      <c r="I11" s="1" t="s">
        <v>1292</v>
      </c>
      <c r="J11" s="1" t="s">
        <v>1293</v>
      </c>
      <c r="K11" s="1" t="s">
        <v>1294</v>
      </c>
      <c r="L11" s="1" t="s">
        <v>59</v>
      </c>
      <c r="M11" s="8" t="s">
        <v>23</v>
      </c>
      <c r="N11" s="8" t="s">
        <v>59</v>
      </c>
      <c r="O11" s="1" t="s">
        <v>59</v>
      </c>
      <c r="P11" s="1" t="s">
        <v>101</v>
      </c>
    </row>
    <row r="12" spans="1:16" ht="72" x14ac:dyDescent="0.3">
      <c r="A12" s="1" t="s">
        <v>1295</v>
      </c>
      <c r="B12" s="1" t="s">
        <v>1180</v>
      </c>
      <c r="C12" s="1" t="s">
        <v>1252</v>
      </c>
      <c r="D12" s="1" t="s">
        <v>1296</v>
      </c>
      <c r="E12" s="1" t="s">
        <v>1297</v>
      </c>
      <c r="F12" s="1" t="s">
        <v>31</v>
      </c>
      <c r="G12" s="1" t="s">
        <v>1255</v>
      </c>
      <c r="H12" s="1" t="s">
        <v>24</v>
      </c>
      <c r="I12" s="1" t="s">
        <v>1298</v>
      </c>
      <c r="J12" s="1" t="s">
        <v>1299</v>
      </c>
      <c r="K12" s="1" t="s">
        <v>1300</v>
      </c>
      <c r="L12" s="1" t="s">
        <v>59</v>
      </c>
      <c r="M12" s="8" t="s">
        <v>23</v>
      </c>
      <c r="N12" s="8" t="s">
        <v>59</v>
      </c>
      <c r="O12" s="1" t="s">
        <v>59</v>
      </c>
      <c r="P12" s="1" t="s">
        <v>81</v>
      </c>
    </row>
    <row r="13" spans="1:16" ht="57.6" x14ac:dyDescent="0.3">
      <c r="A13" s="1" t="s">
        <v>1301</v>
      </c>
      <c r="B13" s="1" t="s">
        <v>1180</v>
      </c>
      <c r="C13" s="1" t="s">
        <v>1252</v>
      </c>
      <c r="D13" s="1" t="s">
        <v>1302</v>
      </c>
      <c r="E13" s="1" t="s">
        <v>1303</v>
      </c>
      <c r="F13" s="1" t="s">
        <v>31</v>
      </c>
      <c r="G13" s="1" t="s">
        <v>1304</v>
      </c>
      <c r="H13" s="1" t="s">
        <v>24</v>
      </c>
      <c r="I13" s="1" t="s">
        <v>1305</v>
      </c>
      <c r="J13" s="1" t="s">
        <v>1306</v>
      </c>
      <c r="K13" s="1" t="s">
        <v>1307</v>
      </c>
      <c r="L13" s="1" t="s">
        <v>59</v>
      </c>
      <c r="M13" s="8" t="s">
        <v>23</v>
      </c>
      <c r="N13" s="8" t="s">
        <v>59</v>
      </c>
      <c r="O13" s="1" t="s">
        <v>59</v>
      </c>
      <c r="P13" s="1" t="s">
        <v>81</v>
      </c>
    </row>
    <row r="14" spans="1:16" ht="43.2" x14ac:dyDescent="0.3">
      <c r="A14" s="1" t="s">
        <v>1308</v>
      </c>
      <c r="B14" s="1" t="s">
        <v>1180</v>
      </c>
      <c r="C14" s="1" t="s">
        <v>1252</v>
      </c>
      <c r="D14" s="1" t="s">
        <v>1309</v>
      </c>
      <c r="E14" s="1" t="s">
        <v>1310</v>
      </c>
      <c r="F14" s="1" t="s">
        <v>30</v>
      </c>
      <c r="G14" s="1" t="s">
        <v>180</v>
      </c>
      <c r="H14" s="1" t="s">
        <v>24</v>
      </c>
      <c r="I14" s="1" t="s">
        <v>1311</v>
      </c>
      <c r="J14" s="1" t="s">
        <v>1312</v>
      </c>
      <c r="K14" s="1" t="s">
        <v>1313</v>
      </c>
      <c r="L14" s="1" t="s">
        <v>59</v>
      </c>
      <c r="M14" s="8" t="s">
        <v>23</v>
      </c>
      <c r="N14" s="8" t="s">
        <v>59</v>
      </c>
      <c r="O14" s="1" t="s">
        <v>59</v>
      </c>
      <c r="P14" s="1" t="s">
        <v>101</v>
      </c>
    </row>
  </sheetData>
  <mergeCells count="2">
    <mergeCell ref="A2:H2"/>
    <mergeCell ref="A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xr:uid="{00000000-0002-0000-1700-000000000000}">
          <x14:formula1>
            <xm:f>Referensi!$A$1:$A$6</xm:f>
          </x14:formula1>
          <xm:sqref>M5:M8</xm:sqref>
        </x14:dataValidation>
        <x14:dataValidation type="list" allowBlank="1" xr:uid="{00000000-0002-0000-1700-000001000000}">
          <x14:formula1>
            <xm:f>Referensi!$B$1:$B$3</xm:f>
          </x14:formula1>
          <xm:sqref>H5:H8</xm:sqref>
        </x14:dataValidation>
        <x14:dataValidation type="list" allowBlank="1" xr:uid="{00000000-0002-0000-1700-000002000000}">
          <x14:formula1>
            <xm:f>Referensi!$C$1:$C$4</xm:f>
          </x14:formula1>
          <xm:sqref>F5:F8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Petunjuk</vt:lpstr>
      <vt:lpstr>Referensi</vt:lpstr>
      <vt:lpstr>Semua_Skenario</vt:lpstr>
      <vt:lpstr>Ringkasan</vt:lpstr>
      <vt:lpstr>Alur_Per_Role</vt:lpstr>
      <vt:lpstr>Matriks_Role_Modul</vt:lpstr>
      <vt:lpstr>Auth &amp; Dashboard</vt:lpstr>
      <vt:lpstr>Assets</vt:lpstr>
      <vt:lpstr>Approvals</vt:lpstr>
      <vt:lpstr>Documents</vt:lpstr>
      <vt:lpstr>Evidence</vt:lpstr>
      <vt:lpstr>Audit Events</vt:lpstr>
      <vt:lpstr>Governance</vt:lpstr>
      <vt:lpstr>Vendors</vt:lpstr>
      <vt:lpstr>Contracts</vt:lpstr>
      <vt:lpstr>Software Products</vt:lpstr>
      <vt:lpstr>Asset Transfer Req</vt:lpstr>
      <vt:lpstr>KPI Library &amp; Scorecard</vt:lpstr>
      <vt:lpstr>Int Audits</vt:lpstr>
      <vt:lpstr>Mgmt Reviews</vt:lpstr>
      <vt:lpstr>CAPA</vt:lpstr>
      <vt:lpstr>Reports</vt:lpstr>
      <vt:lpstr>Admin Master Data</vt:lpstr>
      <vt:lpstr>SA Tenants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Muhamad Ramdhani</cp:lastModifiedBy>
  <dcterms:modified xsi:type="dcterms:W3CDTF">2026-04-16T08:53:43Z</dcterms:modified>
</cp:coreProperties>
</file>